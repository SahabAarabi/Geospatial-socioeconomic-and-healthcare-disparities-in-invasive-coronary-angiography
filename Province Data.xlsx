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abaarabi/Desktop/"/>
    </mc:Choice>
  </mc:AlternateContent>
  <xr:revisionPtr revIDLastSave="0" documentId="13_ncr:1_{9EFDF642-6A30-EF4C-AEAF-C3723715DBA2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32" i="1" l="1"/>
  <c r="CP32" i="1"/>
  <c r="CO32" i="1"/>
  <c r="CQ31" i="1"/>
  <c r="CP31" i="1"/>
  <c r="CO31" i="1"/>
  <c r="CQ30" i="1"/>
  <c r="CP30" i="1"/>
  <c r="CO30" i="1"/>
  <c r="CQ29" i="1"/>
  <c r="CP29" i="1"/>
  <c r="CO29" i="1"/>
  <c r="CQ28" i="1"/>
  <c r="CP28" i="1"/>
  <c r="CO28" i="1"/>
  <c r="CQ27" i="1"/>
  <c r="CP27" i="1"/>
  <c r="CO27" i="1"/>
  <c r="CQ26" i="1"/>
  <c r="CP26" i="1"/>
  <c r="CO26" i="1"/>
  <c r="CQ25" i="1"/>
  <c r="CP25" i="1"/>
  <c r="CO25" i="1"/>
  <c r="CQ24" i="1"/>
  <c r="CP24" i="1"/>
  <c r="CO24" i="1"/>
  <c r="CQ23" i="1"/>
  <c r="CP23" i="1"/>
  <c r="CO23" i="1"/>
  <c r="CQ22" i="1"/>
  <c r="CP22" i="1"/>
  <c r="CO22" i="1"/>
  <c r="CQ21" i="1"/>
  <c r="CP21" i="1"/>
  <c r="CO21" i="1"/>
  <c r="CQ20" i="1"/>
  <c r="CP20" i="1"/>
  <c r="CO20" i="1"/>
  <c r="CQ19" i="1"/>
  <c r="CP19" i="1"/>
  <c r="CO19" i="1"/>
  <c r="CQ18" i="1"/>
  <c r="CP18" i="1"/>
  <c r="CO18" i="1"/>
  <c r="CQ17" i="1"/>
  <c r="CP17" i="1"/>
  <c r="CO17" i="1"/>
  <c r="CQ16" i="1"/>
  <c r="CP16" i="1"/>
  <c r="CO16" i="1"/>
  <c r="CQ15" i="1"/>
  <c r="CP15" i="1"/>
  <c r="CO15" i="1"/>
  <c r="CQ14" i="1"/>
  <c r="CP14" i="1"/>
  <c r="CO14" i="1"/>
  <c r="CQ13" i="1"/>
  <c r="CP13" i="1"/>
  <c r="CO13" i="1"/>
  <c r="CQ12" i="1"/>
  <c r="CP12" i="1"/>
  <c r="CO12" i="1"/>
  <c r="CQ11" i="1"/>
  <c r="CP11" i="1"/>
  <c r="CO11" i="1"/>
  <c r="CQ10" i="1"/>
  <c r="CP10" i="1"/>
  <c r="CO10" i="1"/>
  <c r="CQ9" i="1"/>
  <c r="CP9" i="1"/>
  <c r="CO9" i="1"/>
  <c r="CQ8" i="1"/>
  <c r="CP8" i="1"/>
  <c r="CO8" i="1"/>
  <c r="CQ7" i="1"/>
  <c r="CP7" i="1"/>
  <c r="CO7" i="1"/>
  <c r="CQ6" i="1"/>
  <c r="CP6" i="1"/>
  <c r="CO6" i="1"/>
  <c r="CQ5" i="1"/>
  <c r="CP5" i="1"/>
  <c r="CO5" i="1"/>
  <c r="CQ4" i="1"/>
  <c r="CP4" i="1"/>
  <c r="CO4" i="1"/>
  <c r="CQ3" i="1"/>
  <c r="CP3" i="1"/>
  <c r="CO3" i="1"/>
  <c r="CQ2" i="1"/>
  <c r="CP2" i="1"/>
  <c r="CO2" i="1"/>
  <c r="CN32" i="1" l="1"/>
  <c r="CN31" i="1"/>
  <c r="CN30" i="1"/>
  <c r="CN29" i="1"/>
  <c r="CN28" i="1"/>
  <c r="CN27" i="1"/>
  <c r="CN26" i="1"/>
  <c r="CN25" i="1"/>
  <c r="CN24" i="1"/>
  <c r="CN23" i="1"/>
  <c r="CN22" i="1"/>
  <c r="CN21" i="1"/>
  <c r="CN20" i="1"/>
  <c r="CN19" i="1"/>
  <c r="CN18" i="1"/>
  <c r="CN17" i="1"/>
  <c r="CN16" i="1"/>
  <c r="CN15" i="1"/>
  <c r="CN14" i="1"/>
  <c r="CN13" i="1"/>
  <c r="CN12" i="1"/>
  <c r="CN11" i="1"/>
  <c r="CN10" i="1"/>
  <c r="CN9" i="1"/>
  <c r="CN8" i="1"/>
  <c r="CN7" i="1"/>
  <c r="CN6" i="1"/>
  <c r="CN5" i="1"/>
  <c r="CN4" i="1"/>
  <c r="CN3" i="1"/>
  <c r="C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kia795@live.com</author>
  </authors>
  <commentList>
    <comment ref="CX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kia795@live.com:</t>
        </r>
        <r>
          <rPr>
            <sz val="9"/>
            <color indexed="81"/>
            <rFont val="Tahoma"/>
            <family val="2"/>
          </rPr>
          <t xml:space="preserve">
free market</t>
        </r>
      </text>
    </comment>
    <comment ref="CY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kia795@live.com:</t>
        </r>
        <r>
          <rPr>
            <sz val="9"/>
            <color indexed="81"/>
            <rFont val="Tahoma"/>
            <family val="2"/>
          </rPr>
          <t xml:space="preserve">
free market</t>
        </r>
      </text>
    </comment>
    <comment ref="CZ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kia795@live.com:</t>
        </r>
        <r>
          <rPr>
            <sz val="9"/>
            <color indexed="81"/>
            <rFont val="Tahoma"/>
            <family val="2"/>
          </rPr>
          <t xml:space="preserve">
free market</t>
        </r>
      </text>
    </comment>
  </commentList>
</comments>
</file>

<file path=xl/sharedStrings.xml><?xml version="1.0" encoding="utf-8"?>
<sst xmlns="http://schemas.openxmlformats.org/spreadsheetml/2006/main" count="197" uniqueCount="172">
  <si>
    <t>استان</t>
  </si>
  <si>
    <t>count</t>
  </si>
  <si>
    <t>percent</t>
  </si>
  <si>
    <t>under covered population IHIO 1402</t>
  </si>
  <si>
    <t>number of angiography in 100000 population</t>
  </si>
  <si>
    <t>N of revascularization</t>
  </si>
  <si>
    <t>revascularization (%)</t>
  </si>
  <si>
    <t>number of revascularization in 100000 undercovered population</t>
  </si>
  <si>
    <t>Center population (a) * 1000</t>
  </si>
  <si>
    <t>Province population * 1000</t>
  </si>
  <si>
    <t>Center population (%)</t>
  </si>
  <si>
    <t>Rural population province(a)</t>
  </si>
  <si>
    <t>Rural population province(%)</t>
  </si>
  <si>
    <t>population under the coverage of the IHIO (%)</t>
  </si>
  <si>
    <t>N hospitals - T</t>
  </si>
  <si>
    <t>N active beds per 1000 population</t>
  </si>
  <si>
    <t>N angiography device per 1 million</t>
  </si>
  <si>
    <t>deprivation rank</t>
  </si>
  <si>
    <t>Population Coverage Index (%)</t>
  </si>
  <si>
    <t>Percentage from total hospitals</t>
  </si>
  <si>
    <t>Percentage_High_Risk(&gt;120) min</t>
  </si>
  <si>
    <t>Province Time Index (Weighted Min)</t>
  </si>
  <si>
    <t>Higher EdWorkforce N</t>
  </si>
  <si>
    <t>Higher EdWorkforce %</t>
  </si>
  <si>
    <t>Literacy N</t>
  </si>
  <si>
    <t>Literacy %</t>
  </si>
  <si>
    <t>NonPersianSpeakers N</t>
  </si>
  <si>
    <t>NonPersianSpeakers %</t>
  </si>
  <si>
    <t>over 65 population (%)</t>
  </si>
  <si>
    <t>working population at industry percentage</t>
  </si>
  <si>
    <t>Household home density (1399)</t>
  </si>
  <si>
    <t>Gini index urabn</t>
  </si>
  <si>
    <t>Gini index rural</t>
  </si>
  <si>
    <t>Persian speaker (%)</t>
  </si>
  <si>
    <t>Turkish speaker (%)</t>
  </si>
  <si>
    <t>Kurdish speaker (%)</t>
  </si>
  <si>
    <t>Lur speaker (%)</t>
  </si>
  <si>
    <t>Baluch speaker (%)</t>
  </si>
  <si>
    <t>Arab speaker (%)</t>
  </si>
  <si>
    <t>Mazani speaker (%)</t>
  </si>
  <si>
    <t>Gilak speaker (%)</t>
  </si>
  <si>
    <t>Talesh speaker (%)</t>
  </si>
  <si>
    <t>Main ethnicity</t>
  </si>
  <si>
    <t>ELF_Index</t>
  </si>
  <si>
    <t>Ethnic_Proximity_to_Center</t>
  </si>
  <si>
    <t>سیستان وبلوچستان</t>
  </si>
  <si>
    <t>Sistan and Baluchestan</t>
  </si>
  <si>
    <t>Baluch</t>
  </si>
  <si>
    <t>کرمان</t>
  </si>
  <si>
    <t>Kerman</t>
  </si>
  <si>
    <t>Persian</t>
  </si>
  <si>
    <t>کهگیلویه وبویراحمد</t>
  </si>
  <si>
    <t>Kohgiluyeh and Boyer-Ahmad</t>
  </si>
  <si>
    <t>Lur</t>
  </si>
  <si>
    <t>خراسان جنوبی</t>
  </si>
  <si>
    <t>South Khorasan</t>
  </si>
  <si>
    <t>کردستان</t>
  </si>
  <si>
    <t>Kurdistan</t>
  </si>
  <si>
    <t>Kurd</t>
  </si>
  <si>
    <t>بوشهر</t>
  </si>
  <si>
    <t>Bushehr</t>
  </si>
  <si>
    <t>اردبیل</t>
  </si>
  <si>
    <t>Ardabil</t>
  </si>
  <si>
    <t>Turk</t>
  </si>
  <si>
    <t>خراسان رضوی</t>
  </si>
  <si>
    <t>Razavi Khorasan</t>
  </si>
  <si>
    <t>ایلام</t>
  </si>
  <si>
    <t>Ilam</t>
  </si>
  <si>
    <t>هرمزگان</t>
  </si>
  <si>
    <t>Hormozgan</t>
  </si>
  <si>
    <t>آذربایجان غربی</t>
  </si>
  <si>
    <t>West Azerbaijan</t>
  </si>
  <si>
    <t>خوزستان</t>
  </si>
  <si>
    <t>Khuzestan</t>
  </si>
  <si>
    <t>None</t>
  </si>
  <si>
    <t>مازندران</t>
  </si>
  <si>
    <t>Mazandaran</t>
  </si>
  <si>
    <t>یزد</t>
  </si>
  <si>
    <t>Yazd</t>
  </si>
  <si>
    <t>فارس</t>
  </si>
  <si>
    <t>Fars</t>
  </si>
  <si>
    <t>کرمانشاه</t>
  </si>
  <si>
    <t>Kermanshah</t>
  </si>
  <si>
    <t>آذربایجان شرقی</t>
  </si>
  <si>
    <t>East Azerbaijan</t>
  </si>
  <si>
    <t>خراسان شمالی</t>
  </si>
  <si>
    <t>North Khorasan</t>
  </si>
  <si>
    <t>اصفهان</t>
  </si>
  <si>
    <t>Isfahan</t>
  </si>
  <si>
    <t>البرز</t>
  </si>
  <si>
    <t>Alborz</t>
  </si>
  <si>
    <t>تهران</t>
  </si>
  <si>
    <t>Tehran</t>
  </si>
  <si>
    <t>چهارمحال وبختیاری</t>
  </si>
  <si>
    <t>Chaharmahal and Bakhtiari</t>
  </si>
  <si>
    <t>زنجان</t>
  </si>
  <si>
    <t>Zanjan</t>
  </si>
  <si>
    <t>سمنان</t>
  </si>
  <si>
    <t>Semnan</t>
  </si>
  <si>
    <t>قزوین</t>
  </si>
  <si>
    <t>Qazvin</t>
  </si>
  <si>
    <t>قم</t>
  </si>
  <si>
    <t>Qom</t>
  </si>
  <si>
    <t>گلستان</t>
  </si>
  <si>
    <t>Golestan</t>
  </si>
  <si>
    <t>گیلان</t>
  </si>
  <si>
    <t>Guilan</t>
  </si>
  <si>
    <t>Gilak</t>
  </si>
  <si>
    <t>لرستان</t>
  </si>
  <si>
    <t>Lorestan</t>
  </si>
  <si>
    <t>مرکزی</t>
  </si>
  <si>
    <t>Markazi</t>
  </si>
  <si>
    <t>همدان</t>
  </si>
  <si>
    <t>Hamedan</t>
  </si>
  <si>
    <t>SPAI weighted index</t>
  </si>
  <si>
    <t>SPAI normalized weighted index</t>
  </si>
  <si>
    <t>SD</t>
  </si>
  <si>
    <t>Population_High_Risk(&gt;120) min</t>
  </si>
  <si>
    <t>SPAI index rank</t>
  </si>
  <si>
    <t>Total household expenditure</t>
  </si>
  <si>
    <t>Mazani</t>
  </si>
  <si>
    <t>Average cost per hospitalization, USD</t>
  </si>
  <si>
    <t>Province</t>
  </si>
  <si>
    <t>Total Province Hospitals with angiography facility</t>
  </si>
  <si>
    <t>Distance_Weighted_Index (adjusted ELF)</t>
  </si>
  <si>
    <t>15 &lt; Age &lt; 24</t>
  </si>
  <si>
    <t>15 &lt; Age &lt;64</t>
  </si>
  <si>
    <t>Age &gt;= 65</t>
  </si>
  <si>
    <t>Sex:F (N)</t>
  </si>
  <si>
    <t>Sex:F (%)</t>
  </si>
  <si>
    <t>Total Population N * 1000</t>
  </si>
  <si>
    <t>Age &lt; 15 (%)</t>
  </si>
  <si>
    <t>Age - mean (1395)</t>
  </si>
  <si>
    <t>Age - SD (1395)</t>
  </si>
  <si>
    <t>count - ACS</t>
  </si>
  <si>
    <t>number of angiography in 100000 covered population - ACS</t>
  </si>
  <si>
    <t>N of revascularization - ACS</t>
  </si>
  <si>
    <t>number of revascularization in 100000 undercovered population - ACS</t>
  </si>
  <si>
    <t>revascularization (%) - ACS</t>
  </si>
  <si>
    <t>in hospital death N - ACS</t>
  </si>
  <si>
    <t>Cost USD - ACS</t>
  </si>
  <si>
    <t>count - SIHD</t>
  </si>
  <si>
    <t>number of angiography in 100000 covered population - SIHD</t>
  </si>
  <si>
    <t>N of revascularization - SIHD</t>
  </si>
  <si>
    <t>number of revascularization in 100000 undercovered population - SIHD</t>
  </si>
  <si>
    <t>revascularization (%) - SIHD</t>
  </si>
  <si>
    <t>in hospital death N - SIHD</t>
  </si>
  <si>
    <t>Cost USD - SIHD</t>
  </si>
  <si>
    <t>ACS angiography (%)</t>
  </si>
  <si>
    <t>SIHD angiography (%)</t>
  </si>
  <si>
    <t>ACS revascularization (%)</t>
  </si>
  <si>
    <t>SIHD revascularization (%)</t>
  </si>
  <si>
    <t>Repeated revascularization within 28 days N - ACS</t>
  </si>
  <si>
    <t>Repeated revascularization within 28 days N - SIHD</t>
  </si>
  <si>
    <t>ID</t>
  </si>
  <si>
    <t>specialist</t>
  </si>
  <si>
    <t>physician</t>
  </si>
  <si>
    <t>nurse</t>
  </si>
  <si>
    <t>emsrural</t>
  </si>
  <si>
    <t>nurseperbed</t>
  </si>
  <si>
    <t>physicianperbed</t>
  </si>
  <si>
    <t>specialistperbed</t>
  </si>
  <si>
    <t>beds</t>
  </si>
  <si>
    <t>ccubeds</t>
  </si>
  <si>
    <t>DALY</t>
  </si>
  <si>
    <t>GDP share percentage (1400)</t>
  </si>
  <si>
    <t>specialistperpop</t>
  </si>
  <si>
    <t>nurseperpop</t>
  </si>
  <si>
    <t>physicianperpop</t>
  </si>
  <si>
    <t>GP</t>
  </si>
  <si>
    <t>Specialistperpop</t>
  </si>
  <si>
    <t>GPperpop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</si>
</sst>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0"/>
      <color theme="1"/>
      <name val="Times New Roman"/>
      <family val="1"/>
    </font>
    <font>
      <sz val="12"/>
      <color rgb="FF000000"/>
      <name val="Calibri"/>
      <family val="2"/>
      <scheme val="minor"/>
    </font>
    <font>
      <sz val="10"/>
      <color rgb="FF000000"/>
      <name val="B Nazanin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7">
    <xf numFmtId="0" fontId="0" fillId="0" borderId="0" xfId="0"/>
    <xf numFmtId="0" fontId="3" fillId="0" borderId="0" xfId="0" applyFont="1"/>
    <xf numFmtId="11" fontId="3" fillId="0" borderId="0" xfId="0" applyNumberFormat="1" applyFont="1"/>
    <xf numFmtId="2" fontId="3" fillId="0" borderId="0" xfId="0" applyNumberFormat="1" applyFont="1"/>
    <xf numFmtId="2" fontId="0" fillId="0" borderId="0" xfId="0" applyNumberFormat="1"/>
    <xf numFmtId="0" fontId="4" fillId="0" borderId="0" xfId="0" applyFont="1"/>
    <xf numFmtId="2" fontId="5" fillId="0" borderId="0" xfId="0" applyNumberFormat="1" applyFont="1"/>
    <xf numFmtId="2" fontId="5" fillId="0" borderId="1" xfId="0" applyNumberFormat="1" applyFont="1" applyBorder="1"/>
    <xf numFmtId="2" fontId="0" fillId="0" borderId="1" xfId="0" applyNumberFormat="1" applyBorder="1"/>
    <xf numFmtId="1" fontId="5" fillId="0" borderId="1" xfId="0" applyNumberFormat="1" applyFont="1" applyBorder="1"/>
    <xf numFmtId="1" fontId="5" fillId="0" borderId="0" xfId="0" applyNumberFormat="1" applyFont="1"/>
    <xf numFmtId="0" fontId="0" fillId="0" borderId="0" xfId="0" applyFill="1"/>
    <xf numFmtId="0" fontId="2" fillId="0" borderId="0" xfId="0" applyFont="1" applyFill="1"/>
    <xf numFmtId="2" fontId="2" fillId="0" borderId="0" xfId="0" applyNumberFormat="1" applyFont="1" applyFill="1"/>
    <xf numFmtId="2" fontId="2" fillId="0" borderId="1" xfId="0" applyNumberFormat="1" applyFont="1" applyFill="1" applyBorder="1"/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colors>
    <mruColors>
      <color rgb="FFFF5050"/>
      <color rgb="FF63BE7B"/>
      <color rgb="FF00CC66"/>
      <color rgb="FF33CC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33"/>
  <sheetViews>
    <sheetView tabSelected="1" zoomScaleNormal="100" workbookViewId="0">
      <pane xSplit="2" topLeftCell="G1" activePane="topRight" state="frozen"/>
      <selection pane="topRight" sqref="A1:XFD1"/>
    </sheetView>
  </sheetViews>
  <sheetFormatPr baseColWidth="10" defaultColWidth="11" defaultRowHeight="16" x14ac:dyDescent="0.2"/>
  <cols>
    <col min="12" max="12" width="11" style="4"/>
    <col min="13" max="13" width="11" style="8"/>
    <col min="14" max="32" width="11" style="4"/>
    <col min="33" max="33" width="11" style="8"/>
    <col min="34" max="41" width="11" style="4"/>
    <col min="52" max="52" width="11" customWidth="1"/>
    <col min="58" max="63" width="11" style="4"/>
    <col min="89" max="99" width="11" style="4"/>
  </cols>
  <sheetData>
    <row r="1" spans="1:104" s="12" customFormat="1" x14ac:dyDescent="0.2">
      <c r="A1" s="11" t="s">
        <v>154</v>
      </c>
      <c r="B1" s="12" t="s">
        <v>0</v>
      </c>
      <c r="C1" s="12" t="s">
        <v>122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2</v>
      </c>
      <c r="J1" s="12" t="s">
        <v>7</v>
      </c>
      <c r="K1" s="12" t="s">
        <v>6</v>
      </c>
      <c r="L1" s="13" t="s">
        <v>121</v>
      </c>
      <c r="M1" s="14" t="s">
        <v>134</v>
      </c>
      <c r="N1" s="13" t="s">
        <v>135</v>
      </c>
      <c r="O1" s="13" t="s">
        <v>148</v>
      </c>
      <c r="P1" s="13" t="s">
        <v>136</v>
      </c>
      <c r="Q1" s="13" t="s">
        <v>137</v>
      </c>
      <c r="R1" s="13" t="s">
        <v>150</v>
      </c>
      <c r="S1" s="13" t="s">
        <v>138</v>
      </c>
      <c r="T1" s="13" t="s">
        <v>139</v>
      </c>
      <c r="U1" s="13" t="s">
        <v>152</v>
      </c>
      <c r="V1" s="13" t="s">
        <v>140</v>
      </c>
      <c r="W1" s="14" t="s">
        <v>141</v>
      </c>
      <c r="X1" s="13" t="s">
        <v>142</v>
      </c>
      <c r="Y1" s="13" t="s">
        <v>149</v>
      </c>
      <c r="Z1" s="13" t="s">
        <v>143</v>
      </c>
      <c r="AA1" s="13" t="s">
        <v>144</v>
      </c>
      <c r="AB1" s="13" t="s">
        <v>151</v>
      </c>
      <c r="AC1" s="13" t="s">
        <v>145</v>
      </c>
      <c r="AD1" s="13" t="s">
        <v>146</v>
      </c>
      <c r="AE1" s="13" t="s">
        <v>153</v>
      </c>
      <c r="AF1" s="13" t="s">
        <v>147</v>
      </c>
      <c r="AG1" s="14" t="s">
        <v>130</v>
      </c>
      <c r="AH1" s="13" t="s">
        <v>128</v>
      </c>
      <c r="AI1" s="13" t="s">
        <v>129</v>
      </c>
      <c r="AJ1" s="13" t="s">
        <v>132</v>
      </c>
      <c r="AK1" s="13" t="s">
        <v>133</v>
      </c>
      <c r="AL1" s="13" t="s">
        <v>131</v>
      </c>
      <c r="AM1" s="13" t="s">
        <v>125</v>
      </c>
      <c r="AN1" s="13" t="s">
        <v>126</v>
      </c>
      <c r="AO1" s="13" t="s">
        <v>127</v>
      </c>
      <c r="AP1" s="12" t="s">
        <v>8</v>
      </c>
      <c r="AQ1" s="12" t="s">
        <v>9</v>
      </c>
      <c r="AR1" s="12" t="s">
        <v>10</v>
      </c>
      <c r="AS1" s="12" t="s">
        <v>11</v>
      </c>
      <c r="AT1" s="12" t="s">
        <v>12</v>
      </c>
      <c r="AU1" s="12" t="s">
        <v>13</v>
      </c>
      <c r="AV1" s="12" t="s">
        <v>14</v>
      </c>
      <c r="AW1" s="12" t="s">
        <v>15</v>
      </c>
      <c r="AX1" s="12" t="s">
        <v>16</v>
      </c>
      <c r="AY1" s="12" t="s">
        <v>119</v>
      </c>
      <c r="AZ1" s="12" t="s">
        <v>17</v>
      </c>
      <c r="BA1" s="12" t="s">
        <v>18</v>
      </c>
      <c r="BB1" s="12" t="s">
        <v>123</v>
      </c>
      <c r="BC1" s="12" t="s">
        <v>19</v>
      </c>
      <c r="BD1" s="12" t="s">
        <v>118</v>
      </c>
      <c r="BE1" s="12" t="s">
        <v>114</v>
      </c>
      <c r="BF1" s="13" t="s">
        <v>115</v>
      </c>
      <c r="BG1" s="15" t="s">
        <v>116</v>
      </c>
      <c r="BH1" s="13" t="s">
        <v>117</v>
      </c>
      <c r="BI1" s="13" t="s">
        <v>20</v>
      </c>
      <c r="BJ1" s="16" t="s">
        <v>21</v>
      </c>
      <c r="BK1" s="16" t="s">
        <v>116</v>
      </c>
      <c r="BL1" s="12" t="s">
        <v>22</v>
      </c>
      <c r="BM1" s="12" t="s">
        <v>23</v>
      </c>
      <c r="BN1" s="12" t="s">
        <v>24</v>
      </c>
      <c r="BO1" s="12" t="s">
        <v>25</v>
      </c>
      <c r="BP1" s="12" t="s">
        <v>26</v>
      </c>
      <c r="BQ1" s="12" t="s">
        <v>27</v>
      </c>
      <c r="BR1" s="12" t="s">
        <v>28</v>
      </c>
      <c r="BS1" s="12" t="s">
        <v>29</v>
      </c>
      <c r="BT1" s="12" t="s">
        <v>30</v>
      </c>
      <c r="BU1" s="12" t="s">
        <v>31</v>
      </c>
      <c r="BV1" s="12" t="s">
        <v>32</v>
      </c>
      <c r="BW1" s="12" t="s">
        <v>165</v>
      </c>
      <c r="BX1" s="12" t="s">
        <v>33</v>
      </c>
      <c r="BY1" s="12" t="s">
        <v>34</v>
      </c>
      <c r="BZ1" s="12" t="s">
        <v>35</v>
      </c>
      <c r="CA1" s="12" t="s">
        <v>36</v>
      </c>
      <c r="CB1" s="12" t="s">
        <v>37</v>
      </c>
      <c r="CC1" s="12" t="s">
        <v>38</v>
      </c>
      <c r="CD1" s="12" t="s">
        <v>39</v>
      </c>
      <c r="CE1" s="12" t="s">
        <v>40</v>
      </c>
      <c r="CF1" s="12" t="s">
        <v>41</v>
      </c>
      <c r="CG1" s="12" t="s">
        <v>42</v>
      </c>
      <c r="CH1" s="12" t="s">
        <v>43</v>
      </c>
      <c r="CI1" s="12" t="s">
        <v>124</v>
      </c>
      <c r="CJ1" s="12" t="s">
        <v>44</v>
      </c>
      <c r="CK1" s="13" t="s">
        <v>155</v>
      </c>
      <c r="CL1" s="13" t="s">
        <v>156</v>
      </c>
      <c r="CM1" s="13" t="s">
        <v>157</v>
      </c>
      <c r="CN1" s="13" t="s">
        <v>162</v>
      </c>
      <c r="CO1" s="13" t="s">
        <v>166</v>
      </c>
      <c r="CP1" s="13" t="s">
        <v>168</v>
      </c>
      <c r="CQ1" s="13" t="s">
        <v>167</v>
      </c>
      <c r="CR1" s="13" t="s">
        <v>161</v>
      </c>
      <c r="CS1" s="13" t="s">
        <v>160</v>
      </c>
      <c r="CT1" s="13" t="s">
        <v>159</v>
      </c>
      <c r="CU1" s="13" t="s">
        <v>158</v>
      </c>
      <c r="CV1" s="12" t="s">
        <v>163</v>
      </c>
      <c r="CW1" s="12" t="s">
        <v>164</v>
      </c>
      <c r="CX1" s="12" t="s">
        <v>170</v>
      </c>
      <c r="CY1" s="11" t="s">
        <v>169</v>
      </c>
      <c r="CZ1" s="12" t="s">
        <v>171</v>
      </c>
    </row>
    <row r="2" spans="1:104" x14ac:dyDescent="0.2">
      <c r="A2">
        <v>1</v>
      </c>
      <c r="B2" t="s">
        <v>72</v>
      </c>
      <c r="C2" t="s">
        <v>73</v>
      </c>
      <c r="D2">
        <v>6589</v>
      </c>
      <c r="E2">
        <v>4.1500000000000004</v>
      </c>
      <c r="F2">
        <v>2836793</v>
      </c>
      <c r="G2">
        <v>232.2693266657102</v>
      </c>
      <c r="H2">
        <v>2297</v>
      </c>
      <c r="I2">
        <v>3.0692553347853391</v>
      </c>
      <c r="J2">
        <v>80.97171700578788</v>
      </c>
      <c r="K2">
        <v>34.861132190013663</v>
      </c>
      <c r="L2" s="6">
        <v>2697.4372325577701</v>
      </c>
      <c r="M2" s="9">
        <v>2143</v>
      </c>
      <c r="N2" s="6">
        <v>75.543051607924866</v>
      </c>
      <c r="O2" s="6">
        <v>32.523903475489455</v>
      </c>
      <c r="P2" s="10">
        <v>760</v>
      </c>
      <c r="Q2" s="6">
        <v>26.790816249194073</v>
      </c>
      <c r="R2" s="6">
        <v>33.086634740966481</v>
      </c>
      <c r="S2" s="6">
        <v>35.464302379841342</v>
      </c>
      <c r="T2" s="10">
        <v>19</v>
      </c>
      <c r="U2" s="10">
        <v>31</v>
      </c>
      <c r="V2" s="6">
        <v>2659.7496886510098</v>
      </c>
      <c r="W2" s="10">
        <v>2262</v>
      </c>
      <c r="X2" s="6">
        <v>79.737929415364462</v>
      </c>
      <c r="Y2" s="6">
        <v>34.329943845803612</v>
      </c>
      <c r="Z2" s="10">
        <v>791</v>
      </c>
      <c r="AA2" s="6">
        <v>27.88359954356909</v>
      </c>
      <c r="AB2" s="6">
        <v>34.436221158032218</v>
      </c>
      <c r="AC2" s="6">
        <v>34.969053934571178</v>
      </c>
      <c r="AD2" s="10">
        <v>10</v>
      </c>
      <c r="AE2" s="10">
        <v>40</v>
      </c>
      <c r="AF2" s="6">
        <v>3062.7256140693398</v>
      </c>
      <c r="AG2" s="7">
        <v>5075</v>
      </c>
      <c r="AH2" s="6">
        <v>2505</v>
      </c>
      <c r="AI2" s="6">
        <v>49.35960591133005</v>
      </c>
      <c r="AJ2" s="6">
        <v>28.671188400234499</v>
      </c>
      <c r="AK2" s="6">
        <v>19.0098276094642</v>
      </c>
      <c r="AL2" s="6">
        <v>27.740038511849789</v>
      </c>
      <c r="AM2" s="6">
        <v>13.874038706123217</v>
      </c>
      <c r="AN2" s="6">
        <v>66.769707768237723</v>
      </c>
      <c r="AO2" s="6">
        <v>5.4902537199124941</v>
      </c>
      <c r="AP2">
        <v>1420.1</v>
      </c>
      <c r="AQ2">
        <v>4994</v>
      </c>
      <c r="AR2">
        <v>28.436123348017617</v>
      </c>
      <c r="AS2">
        <v>1078.7</v>
      </c>
      <c r="AT2">
        <v>21.599919903884661</v>
      </c>
      <c r="AU2">
        <v>56.80402482979575</v>
      </c>
      <c r="AV2">
        <v>63</v>
      </c>
      <c r="AW2">
        <v>1.85</v>
      </c>
      <c r="AX2">
        <v>2.4</v>
      </c>
      <c r="AY2">
        <v>1671705.8084501405</v>
      </c>
      <c r="AZ2">
        <v>12</v>
      </c>
      <c r="BA2">
        <v>33.6</v>
      </c>
      <c r="BB2">
        <v>6</v>
      </c>
      <c r="BC2">
        <v>4.1379310344827589</v>
      </c>
      <c r="BD2">
        <v>15</v>
      </c>
      <c r="BE2" s="1">
        <v>5.25322819475334E-4</v>
      </c>
      <c r="BF2" s="3">
        <v>3.3400656219306</v>
      </c>
      <c r="BG2" s="3">
        <v>1.7186042920136699</v>
      </c>
      <c r="BH2" s="1">
        <v>268168</v>
      </c>
      <c r="BI2" s="4">
        <v>9.6533104870787891</v>
      </c>
      <c r="BJ2" s="4">
        <v>50.504431988596103</v>
      </c>
      <c r="BK2" s="3">
        <v>44.958662197301102</v>
      </c>
      <c r="BL2">
        <v>294317</v>
      </c>
      <c r="BM2">
        <v>6.2480933589130174</v>
      </c>
      <c r="BN2">
        <v>3569475</v>
      </c>
      <c r="BO2">
        <v>75.776842799790856</v>
      </c>
      <c r="BP2">
        <v>87361</v>
      </c>
      <c r="BQ2">
        <v>3.26</v>
      </c>
      <c r="BR2">
        <v>5.4902537199124941</v>
      </c>
      <c r="BS2">
        <v>19.523428113736482</v>
      </c>
      <c r="BT2">
        <v>1.0880000000000001</v>
      </c>
      <c r="BU2">
        <v>0.31569999999999998</v>
      </c>
      <c r="BV2">
        <v>0.2455</v>
      </c>
      <c r="BW2">
        <v>16.971710561925288</v>
      </c>
      <c r="BX2">
        <v>31.9</v>
      </c>
      <c r="BY2">
        <v>2.5</v>
      </c>
      <c r="BZ2">
        <v>1</v>
      </c>
      <c r="CA2">
        <v>30.2</v>
      </c>
      <c r="CB2">
        <v>0</v>
      </c>
      <c r="CC2">
        <v>33.6</v>
      </c>
      <c r="CD2">
        <v>1</v>
      </c>
      <c r="CE2">
        <v>0.5</v>
      </c>
      <c r="CF2">
        <v>0</v>
      </c>
      <c r="CG2" t="s">
        <v>74</v>
      </c>
      <c r="CH2">
        <v>0.69753828463910506</v>
      </c>
      <c r="CI2">
        <v>0.60593106810721797</v>
      </c>
      <c r="CJ2">
        <v>0.53873697569604395</v>
      </c>
      <c r="CK2" s="6">
        <v>1487</v>
      </c>
      <c r="CL2" s="6">
        <v>2750</v>
      </c>
      <c r="CM2" s="6">
        <v>5902</v>
      </c>
      <c r="CN2" s="4">
        <f t="shared" ref="CN2:CN32" si="0">AW2*AQ2</f>
        <v>9238.9</v>
      </c>
      <c r="CO2" s="4">
        <f t="shared" ref="CO2:CO32" si="1">CK2/AG2</f>
        <v>0.29300492610837436</v>
      </c>
      <c r="CP2" s="4">
        <f t="shared" ref="CP2:CP32" si="2">CL2/AG2</f>
        <v>0.54187192118226601</v>
      </c>
      <c r="CQ2" s="4">
        <f t="shared" ref="CQ2:CQ32" si="3">CM2/AG2</f>
        <v>1.1629556650246304</v>
      </c>
      <c r="CR2" s="4">
        <v>0.16094989663271603</v>
      </c>
      <c r="CS2" s="4">
        <v>0.29765448267650912</v>
      </c>
      <c r="CT2" s="4">
        <v>0.63882063882063889</v>
      </c>
      <c r="CU2" s="6">
        <v>0.11124501715027348</v>
      </c>
      <c r="CV2">
        <v>7.8</v>
      </c>
      <c r="CW2">
        <v>2774.01117644336</v>
      </c>
      <c r="CX2">
        <v>4.2</v>
      </c>
      <c r="CY2">
        <v>3258</v>
      </c>
      <c r="CZ2">
        <v>0.64197044334975373</v>
      </c>
    </row>
    <row r="3" spans="1:104" x14ac:dyDescent="0.2">
      <c r="A3">
        <v>2</v>
      </c>
      <c r="B3" t="s">
        <v>89</v>
      </c>
      <c r="C3" t="s">
        <v>90</v>
      </c>
      <c r="D3">
        <v>4000</v>
      </c>
      <c r="E3">
        <v>2.52</v>
      </c>
      <c r="F3">
        <v>903775</v>
      </c>
      <c r="G3">
        <v>442.5880335260436</v>
      </c>
      <c r="H3">
        <v>1895</v>
      </c>
      <c r="I3">
        <v>2.5321022461550795</v>
      </c>
      <c r="J3">
        <v>209.67608088296313</v>
      </c>
      <c r="K3">
        <v>47.375</v>
      </c>
      <c r="L3" s="6">
        <v>3275.9191985132702</v>
      </c>
      <c r="M3" s="9">
        <v>471</v>
      </c>
      <c r="N3" s="6">
        <v>52.114740947691622</v>
      </c>
      <c r="O3" s="6">
        <v>11.774999999999999</v>
      </c>
      <c r="P3" s="10">
        <v>306</v>
      </c>
      <c r="Q3" s="6">
        <v>33.857984564742331</v>
      </c>
      <c r="R3" s="6">
        <v>16.147757255936675</v>
      </c>
      <c r="S3" s="6">
        <v>64.968152866242036</v>
      </c>
      <c r="T3" s="10">
        <v>11</v>
      </c>
      <c r="U3" s="10">
        <v>19</v>
      </c>
      <c r="V3" s="6">
        <v>3356.0349727347202</v>
      </c>
      <c r="W3" s="10">
        <v>2031</v>
      </c>
      <c r="X3" s="6">
        <v>224.72407402284858</v>
      </c>
      <c r="Y3" s="6">
        <v>50.775000000000006</v>
      </c>
      <c r="Z3" s="10">
        <v>830</v>
      </c>
      <c r="AA3" s="6">
        <v>91.83701695665404</v>
      </c>
      <c r="AB3" s="6">
        <v>43.799472295514512</v>
      </c>
      <c r="AC3" s="6">
        <v>40.866568193008369</v>
      </c>
      <c r="AD3" s="10">
        <v>5</v>
      </c>
      <c r="AE3" s="10">
        <v>23</v>
      </c>
      <c r="AF3" s="6">
        <v>3055.7518619115899</v>
      </c>
      <c r="AG3" s="7">
        <v>2992</v>
      </c>
      <c r="AH3" s="6">
        <v>1481</v>
      </c>
      <c r="AI3" s="6">
        <v>49.498663101604279</v>
      </c>
      <c r="AJ3" s="6">
        <v>32.104257484146899</v>
      </c>
      <c r="AK3" s="6">
        <v>19.090000471174601</v>
      </c>
      <c r="AL3" s="6">
        <v>19.201126808016809</v>
      </c>
      <c r="AM3" s="6">
        <v>12.805943150209204</v>
      </c>
      <c r="AN3" s="6">
        <v>73.502363449064674</v>
      </c>
      <c r="AO3" s="6">
        <v>7.2965097429185093</v>
      </c>
      <c r="AP3">
        <v>1842.3</v>
      </c>
      <c r="AQ3">
        <v>2922.4</v>
      </c>
      <c r="AR3">
        <v>63.040651519299203</v>
      </c>
      <c r="AS3">
        <v>198.7</v>
      </c>
      <c r="AT3">
        <v>6.7992061319463453</v>
      </c>
      <c r="AU3">
        <v>30.925780180673417</v>
      </c>
      <c r="AV3">
        <v>20</v>
      </c>
      <c r="AW3">
        <v>1.1100000000000001</v>
      </c>
      <c r="AX3">
        <v>2</v>
      </c>
      <c r="AY3">
        <v>2129313.711333151</v>
      </c>
      <c r="AZ3">
        <v>28</v>
      </c>
      <c r="BA3">
        <v>74.069999999999993</v>
      </c>
      <c r="BB3">
        <v>4</v>
      </c>
      <c r="BC3">
        <v>2.7586206896551726</v>
      </c>
      <c r="BD3">
        <v>6</v>
      </c>
      <c r="BE3" s="1">
        <v>1.01997410737766E-3</v>
      </c>
      <c r="BF3" s="3">
        <v>6.4851179598746196</v>
      </c>
      <c r="BG3" s="3">
        <v>0.58144408379682699</v>
      </c>
      <c r="BH3" s="3">
        <v>0</v>
      </c>
      <c r="BI3" s="4">
        <v>0</v>
      </c>
      <c r="BJ3" s="4">
        <v>8.5748725141422906</v>
      </c>
      <c r="BK3" s="3">
        <v>11.593286272473099</v>
      </c>
      <c r="BL3">
        <v>217035</v>
      </c>
      <c r="BM3">
        <v>8.0015853119009002</v>
      </c>
      <c r="BN3">
        <v>2274397</v>
      </c>
      <c r="BO3">
        <v>83.851828638843827</v>
      </c>
      <c r="BQ3">
        <v>0.7</v>
      </c>
      <c r="BR3">
        <v>7.2965097429185093</v>
      </c>
      <c r="BS3">
        <v>44.702258726899387</v>
      </c>
      <c r="BT3">
        <v>0.97399999999999998</v>
      </c>
      <c r="BU3">
        <v>0.31240000000000001</v>
      </c>
      <c r="BV3">
        <v>0.30020000000000002</v>
      </c>
      <c r="BW3">
        <v>2.158430013309852</v>
      </c>
      <c r="BX3">
        <v>47</v>
      </c>
      <c r="BY3">
        <v>36.1</v>
      </c>
      <c r="BZ3">
        <v>7.4</v>
      </c>
      <c r="CA3">
        <v>3.2</v>
      </c>
      <c r="CB3">
        <v>0</v>
      </c>
      <c r="CC3">
        <v>0.6</v>
      </c>
      <c r="CD3">
        <v>6.2</v>
      </c>
      <c r="CE3">
        <v>6.2</v>
      </c>
      <c r="CF3">
        <v>0</v>
      </c>
      <c r="CG3" t="s">
        <v>74</v>
      </c>
      <c r="CH3">
        <v>0.67900875634283697</v>
      </c>
      <c r="CI3">
        <v>0.45860968977139699</v>
      </c>
      <c r="CJ3">
        <v>0.96804817052403103</v>
      </c>
      <c r="CK3" s="6">
        <v>570</v>
      </c>
      <c r="CL3" s="4">
        <v>953</v>
      </c>
      <c r="CM3" s="6">
        <v>2418</v>
      </c>
      <c r="CN3" s="4">
        <f t="shared" si="0"/>
        <v>3243.8640000000005</v>
      </c>
      <c r="CO3" s="4">
        <f t="shared" si="1"/>
        <v>0.19050802139037434</v>
      </c>
      <c r="CP3" s="4">
        <f t="shared" si="2"/>
        <v>0.31851604278074869</v>
      </c>
      <c r="CQ3" s="4">
        <f t="shared" si="3"/>
        <v>0.8081550802139037</v>
      </c>
      <c r="CR3" s="4">
        <v>0.17571636788718636</v>
      </c>
      <c r="CS3" s="4">
        <v>0.29378543613419056</v>
      </c>
      <c r="CT3" s="4">
        <v>0.74540732903722218</v>
      </c>
      <c r="CU3" s="6">
        <v>0.15098137896326122</v>
      </c>
      <c r="CV3">
        <v>4.5</v>
      </c>
      <c r="CW3">
        <v>2394.3640331246602</v>
      </c>
      <c r="CX3">
        <v>4.3</v>
      </c>
      <c r="CY3">
        <v>1910</v>
      </c>
      <c r="CZ3">
        <v>0.6383689839572193</v>
      </c>
    </row>
    <row r="4" spans="1:104" x14ac:dyDescent="0.2">
      <c r="A4">
        <v>3</v>
      </c>
      <c r="B4" t="s">
        <v>85</v>
      </c>
      <c r="C4" t="s">
        <v>86</v>
      </c>
      <c r="D4">
        <v>884</v>
      </c>
      <c r="E4">
        <v>0.56000000000000005</v>
      </c>
      <c r="F4">
        <v>731950</v>
      </c>
      <c r="G4">
        <v>120.77327686317372</v>
      </c>
      <c r="H4">
        <v>343</v>
      </c>
      <c r="I4">
        <v>0.45831718756263445</v>
      </c>
      <c r="J4">
        <v>46.861124393742742</v>
      </c>
      <c r="K4">
        <v>38.800904977375566</v>
      </c>
      <c r="L4" s="6">
        <v>2280.1960113574601</v>
      </c>
      <c r="M4" s="9">
        <v>302</v>
      </c>
      <c r="N4" s="6">
        <v>41.259648883120427</v>
      </c>
      <c r="O4" s="6">
        <v>34.162895927601809</v>
      </c>
      <c r="P4" s="10">
        <v>129</v>
      </c>
      <c r="Q4" s="6">
        <v>17.624154655372635</v>
      </c>
      <c r="R4" s="6">
        <v>37.609329446064137</v>
      </c>
      <c r="S4" s="6">
        <v>42.715231788079471</v>
      </c>
      <c r="T4" s="10">
        <v>4</v>
      </c>
      <c r="U4" s="10">
        <v>9</v>
      </c>
      <c r="V4" s="6">
        <v>2390.1467534553299</v>
      </c>
      <c r="W4" s="10">
        <v>491</v>
      </c>
      <c r="X4" s="6">
        <v>67.081084773550103</v>
      </c>
      <c r="Y4" s="6">
        <v>55.542986425339372</v>
      </c>
      <c r="Z4" s="10">
        <v>209</v>
      </c>
      <c r="AA4" s="6">
        <v>28.553862968782024</v>
      </c>
      <c r="AB4" s="6">
        <v>60.932944606413997</v>
      </c>
      <c r="AC4" s="6">
        <v>42.566191446028512</v>
      </c>
      <c r="AD4" s="10">
        <v>2</v>
      </c>
      <c r="AE4" s="10">
        <v>11</v>
      </c>
      <c r="AF4" s="6">
        <v>2360.4422755391402</v>
      </c>
      <c r="AG4" s="7">
        <v>876</v>
      </c>
      <c r="AH4" s="6">
        <v>434</v>
      </c>
      <c r="AI4" s="6">
        <v>49.543378995433791</v>
      </c>
      <c r="AJ4" s="6">
        <v>29.452702608760099</v>
      </c>
      <c r="AK4" s="6">
        <v>19.800445437919901</v>
      </c>
      <c r="AL4" s="6">
        <v>26.629877016476573</v>
      </c>
      <c r="AM4" s="6">
        <v>14.497169426841754</v>
      </c>
      <c r="AN4" s="6">
        <v>66.495922810230027</v>
      </c>
      <c r="AO4" s="6">
        <v>6.8742001732934082</v>
      </c>
      <c r="AP4">
        <v>344.9</v>
      </c>
      <c r="AQ4">
        <v>877.2</v>
      </c>
      <c r="AR4">
        <v>39.318285453716371</v>
      </c>
      <c r="AS4">
        <v>354.4</v>
      </c>
      <c r="AT4">
        <v>40.401276789785676</v>
      </c>
      <c r="AU4">
        <v>83.441632466940263</v>
      </c>
      <c r="AV4">
        <v>11</v>
      </c>
      <c r="AW4">
        <v>1.65</v>
      </c>
      <c r="AX4">
        <v>1.1000000000000001</v>
      </c>
      <c r="AY4">
        <v>1274077.3160054719</v>
      </c>
      <c r="AZ4">
        <v>8</v>
      </c>
      <c r="BA4">
        <v>36.409999999999997</v>
      </c>
      <c r="BB4">
        <v>1</v>
      </c>
      <c r="BC4">
        <v>0.68965517241379315</v>
      </c>
      <c r="BD4">
        <v>27</v>
      </c>
      <c r="BE4" s="1">
        <v>2.1050549025842499E-4</v>
      </c>
      <c r="BF4" s="3">
        <v>1.3384192065786</v>
      </c>
      <c r="BG4" s="3">
        <v>0.66563081657648204</v>
      </c>
      <c r="BH4" s="1">
        <v>16243</v>
      </c>
      <c r="BI4" s="4">
        <v>2.2774434529985501</v>
      </c>
      <c r="BJ4" s="4">
        <v>55.582712643645898</v>
      </c>
      <c r="BK4" s="3">
        <v>38.766062635379697</v>
      </c>
      <c r="BL4">
        <v>46402</v>
      </c>
      <c r="BM4">
        <v>5.3762518943519346</v>
      </c>
      <c r="BN4">
        <v>632333</v>
      </c>
      <c r="BO4">
        <v>73.263684520306057</v>
      </c>
      <c r="BQ4">
        <v>0.41</v>
      </c>
      <c r="BR4">
        <v>6.8742001732934082</v>
      </c>
      <c r="BS4">
        <v>11.992018244013684</v>
      </c>
      <c r="BT4">
        <v>1.073</v>
      </c>
      <c r="BU4">
        <v>0.32040000000000002</v>
      </c>
      <c r="BV4">
        <v>0.2868</v>
      </c>
      <c r="BW4">
        <v>0.57411784569628677</v>
      </c>
      <c r="BX4">
        <v>27.8</v>
      </c>
      <c r="BY4">
        <v>20.6</v>
      </c>
      <c r="BZ4">
        <v>46.1</v>
      </c>
      <c r="CA4">
        <v>0</v>
      </c>
      <c r="CB4">
        <v>0</v>
      </c>
      <c r="CC4">
        <v>0</v>
      </c>
      <c r="CD4">
        <v>3.3</v>
      </c>
      <c r="CE4">
        <v>0.2</v>
      </c>
      <c r="CF4">
        <v>0</v>
      </c>
      <c r="CG4" t="s">
        <v>74</v>
      </c>
      <c r="CH4">
        <v>0.65292169929196198</v>
      </c>
      <c r="CI4">
        <v>0.59049674869133795</v>
      </c>
      <c r="CJ4">
        <v>0.60843668080855795</v>
      </c>
      <c r="CK4" s="6">
        <v>363</v>
      </c>
      <c r="CL4" s="6">
        <v>699</v>
      </c>
      <c r="CM4" s="6">
        <v>1740</v>
      </c>
      <c r="CN4" s="4">
        <f t="shared" si="0"/>
        <v>1447.38</v>
      </c>
      <c r="CO4" s="4">
        <f t="shared" si="1"/>
        <v>0.41438356164383561</v>
      </c>
      <c r="CP4" s="4">
        <f t="shared" si="2"/>
        <v>0.79794520547945202</v>
      </c>
      <c r="CQ4" s="4">
        <f t="shared" si="3"/>
        <v>1.9863013698630136</v>
      </c>
      <c r="CR4" s="4">
        <v>0.25079799361605104</v>
      </c>
      <c r="CS4" s="4">
        <v>0.48294159101272643</v>
      </c>
      <c r="CT4" s="4">
        <v>1.2021722008042117</v>
      </c>
      <c r="CU4" s="6">
        <v>0.11286681715575622</v>
      </c>
      <c r="CV4">
        <v>4.8</v>
      </c>
      <c r="CW4">
        <v>2029.55349865004</v>
      </c>
      <c r="CX4">
        <v>2.8</v>
      </c>
      <c r="CY4">
        <v>532</v>
      </c>
      <c r="CZ4">
        <v>0.60730593607305938</v>
      </c>
    </row>
    <row r="5" spans="1:104" x14ac:dyDescent="0.2">
      <c r="A5">
        <v>4</v>
      </c>
      <c r="B5" t="s">
        <v>99</v>
      </c>
      <c r="C5" t="s">
        <v>100</v>
      </c>
      <c r="D5">
        <v>1397</v>
      </c>
      <c r="E5">
        <v>0.88</v>
      </c>
      <c r="F5">
        <v>614760</v>
      </c>
      <c r="G5">
        <v>227.24315179907606</v>
      </c>
      <c r="H5">
        <v>610</v>
      </c>
      <c r="I5">
        <v>0.81508304493646355</v>
      </c>
      <c r="J5">
        <v>99.225714099811299</v>
      </c>
      <c r="K5">
        <v>43.664996420901929</v>
      </c>
      <c r="L5" s="6">
        <v>3348.1126644849101</v>
      </c>
      <c r="M5" s="9">
        <v>169</v>
      </c>
      <c r="N5" s="6">
        <v>27.490402758800183</v>
      </c>
      <c r="O5" s="6">
        <v>12.097351467430208</v>
      </c>
      <c r="P5" s="10">
        <v>99</v>
      </c>
      <c r="Q5" s="6">
        <v>16.103845403084129</v>
      </c>
      <c r="R5" s="6">
        <v>16.229508196721312</v>
      </c>
      <c r="S5" s="6">
        <v>58.57988165680473</v>
      </c>
      <c r="T5" s="10">
        <v>3</v>
      </c>
      <c r="U5" s="10">
        <v>2</v>
      </c>
      <c r="V5" s="6">
        <v>4221.3513916197899</v>
      </c>
      <c r="W5" s="10">
        <v>945</v>
      </c>
      <c r="X5" s="6">
        <v>153.71852430216668</v>
      </c>
      <c r="Y5" s="6">
        <v>67.644953471725117</v>
      </c>
      <c r="Z5" s="10">
        <v>414</v>
      </c>
      <c r="AA5" s="6">
        <v>67.34335350380637</v>
      </c>
      <c r="AB5" s="6">
        <v>67.868852459016395</v>
      </c>
      <c r="AC5" s="6">
        <v>43.80952380952381</v>
      </c>
      <c r="AD5" s="10">
        <v>5</v>
      </c>
      <c r="AE5" s="10">
        <v>7</v>
      </c>
      <c r="AF5" s="6">
        <v>3267.0999670083402</v>
      </c>
      <c r="AG5" s="7">
        <v>1340</v>
      </c>
      <c r="AH5" s="6">
        <v>658</v>
      </c>
      <c r="AI5" s="6">
        <v>49.104477611940297</v>
      </c>
      <c r="AJ5" s="6">
        <v>31.307428159599802</v>
      </c>
      <c r="AK5" s="6">
        <v>19.533781170885401</v>
      </c>
      <c r="AL5" s="6">
        <v>21.488197172693997</v>
      </c>
      <c r="AM5" s="6">
        <v>13.070152856593875</v>
      </c>
      <c r="AN5" s="6">
        <v>71.568972014222339</v>
      </c>
      <c r="AO5" s="6">
        <v>6.9428308130836589</v>
      </c>
      <c r="AP5">
        <v>621.79999999999995</v>
      </c>
      <c r="AQ5">
        <v>1326.3999999999999</v>
      </c>
      <c r="AR5">
        <v>46.878769601930038</v>
      </c>
      <c r="AS5">
        <v>291.89999999999998</v>
      </c>
      <c r="AT5">
        <v>22.006936067551266</v>
      </c>
      <c r="AU5">
        <v>46.348009650180948</v>
      </c>
      <c r="AV5">
        <v>16</v>
      </c>
      <c r="AW5">
        <v>1.58</v>
      </c>
      <c r="AX5">
        <v>3.7</v>
      </c>
      <c r="AY5">
        <v>1626523.458609771</v>
      </c>
      <c r="AZ5">
        <v>21</v>
      </c>
      <c r="BA5">
        <v>45.3</v>
      </c>
      <c r="BB5">
        <v>3</v>
      </c>
      <c r="BC5">
        <v>2.0689655172413794</v>
      </c>
      <c r="BD5">
        <v>10</v>
      </c>
      <c r="BE5" s="1">
        <v>7.1845350024789495E-4</v>
      </c>
      <c r="BF5" s="3">
        <v>4.5680137016137596</v>
      </c>
      <c r="BG5" s="3">
        <v>0.69147515874587395</v>
      </c>
      <c r="BH5" s="3">
        <v>0</v>
      </c>
      <c r="BI5" s="4">
        <v>0</v>
      </c>
      <c r="BJ5" s="4">
        <v>34.118444829484098</v>
      </c>
      <c r="BK5" s="3">
        <v>14.219289418268</v>
      </c>
      <c r="BL5">
        <v>86489</v>
      </c>
      <c r="BM5">
        <v>6.790049310663461</v>
      </c>
      <c r="BN5">
        <v>1014667</v>
      </c>
      <c r="BO5">
        <v>79.659135426504662</v>
      </c>
      <c r="BQ5">
        <v>0.7</v>
      </c>
      <c r="BR5">
        <v>6.9428308130836589</v>
      </c>
      <c r="BS5">
        <v>69.349170437405732</v>
      </c>
      <c r="BT5">
        <v>1.008</v>
      </c>
      <c r="BU5">
        <v>0.31230000000000002</v>
      </c>
      <c r="BV5">
        <v>0.28050000000000003</v>
      </c>
      <c r="BW5">
        <v>1.2680149112398837</v>
      </c>
      <c r="BX5">
        <v>40.9</v>
      </c>
      <c r="BY5">
        <v>52.5</v>
      </c>
      <c r="BZ5">
        <v>3.5</v>
      </c>
      <c r="CA5">
        <v>0</v>
      </c>
      <c r="CB5">
        <v>0</v>
      </c>
      <c r="CC5">
        <v>0</v>
      </c>
      <c r="CD5">
        <v>3.1</v>
      </c>
      <c r="CE5">
        <v>15.1</v>
      </c>
      <c r="CF5">
        <v>0.1</v>
      </c>
      <c r="CG5" t="s">
        <v>63</v>
      </c>
      <c r="CH5">
        <v>0.64743230372299398</v>
      </c>
      <c r="CI5">
        <v>0.49398910419328101</v>
      </c>
      <c r="CJ5">
        <v>0.87530377632591105</v>
      </c>
      <c r="CK5" s="6">
        <v>322</v>
      </c>
      <c r="CL5" s="6">
        <v>591</v>
      </c>
      <c r="CM5" s="6">
        <v>1559</v>
      </c>
      <c r="CN5" s="4">
        <f t="shared" si="0"/>
        <v>2095.712</v>
      </c>
      <c r="CO5" s="4">
        <f t="shared" si="1"/>
        <v>0.24029850746268658</v>
      </c>
      <c r="CP5" s="4">
        <f t="shared" si="2"/>
        <v>0.44104477611940296</v>
      </c>
      <c r="CQ5" s="4">
        <f t="shared" si="3"/>
        <v>1.1634328358208956</v>
      </c>
      <c r="CR5" s="4">
        <v>0.15364706600906994</v>
      </c>
      <c r="CS5" s="4">
        <v>0.28200439755080853</v>
      </c>
      <c r="CT5" s="4">
        <v>0.74389992518055914</v>
      </c>
      <c r="CU5" s="6">
        <v>0.11305241521068859</v>
      </c>
      <c r="CV5">
        <v>6.6</v>
      </c>
      <c r="CW5">
        <v>2181.0613308479801</v>
      </c>
      <c r="CX5">
        <v>2.8</v>
      </c>
      <c r="CY5">
        <v>949</v>
      </c>
      <c r="CZ5">
        <v>0.70820895522388061</v>
      </c>
    </row>
    <row r="6" spans="1:104" x14ac:dyDescent="0.2">
      <c r="A6">
        <v>5</v>
      </c>
      <c r="B6" t="s">
        <v>91</v>
      </c>
      <c r="C6" t="s">
        <v>92</v>
      </c>
      <c r="D6">
        <v>32181</v>
      </c>
      <c r="E6">
        <v>20.29</v>
      </c>
      <c r="F6">
        <v>4973306</v>
      </c>
      <c r="G6">
        <v>647.07460188454115</v>
      </c>
      <c r="H6">
        <v>14839</v>
      </c>
      <c r="I6">
        <v>19.827897219364235</v>
      </c>
      <c r="J6">
        <v>298.37295352427537</v>
      </c>
      <c r="K6">
        <v>46.111059320717196</v>
      </c>
      <c r="L6" s="6">
        <v>3719.0288131774801</v>
      </c>
      <c r="M6" s="9">
        <v>3434</v>
      </c>
      <c r="N6" s="6">
        <v>69.048636862481416</v>
      </c>
      <c r="O6" s="6">
        <v>10.670892762810354</v>
      </c>
      <c r="P6" s="10">
        <v>2116</v>
      </c>
      <c r="Q6" s="6">
        <v>42.547150728308289</v>
      </c>
      <c r="R6" s="6">
        <v>14.259721005458589</v>
      </c>
      <c r="S6" s="6">
        <v>61.619103086779269</v>
      </c>
      <c r="T6" s="10">
        <v>44</v>
      </c>
      <c r="U6" s="10">
        <v>200</v>
      </c>
      <c r="V6" s="6">
        <v>3870.5199944445299</v>
      </c>
      <c r="W6" s="10">
        <v>19767</v>
      </c>
      <c r="X6" s="6">
        <v>397.46196996525049</v>
      </c>
      <c r="Y6" s="6">
        <v>61.424442994313409</v>
      </c>
      <c r="Z6" s="10">
        <v>8887</v>
      </c>
      <c r="AA6" s="6">
        <v>178.69401158907172</v>
      </c>
      <c r="AB6" s="6">
        <v>59.889480423209108</v>
      </c>
      <c r="AC6" s="6">
        <v>44.958769666616078</v>
      </c>
      <c r="AD6" s="10">
        <v>68</v>
      </c>
      <c r="AE6" s="10">
        <v>480</v>
      </c>
      <c r="AF6" s="6">
        <v>3458.17501420389</v>
      </c>
      <c r="AG6" s="7">
        <v>14287</v>
      </c>
      <c r="AH6" s="6">
        <v>7120</v>
      </c>
      <c r="AI6" s="6">
        <v>49.835514803667671</v>
      </c>
      <c r="AJ6" s="6">
        <v>33.1607589203714</v>
      </c>
      <c r="AK6" s="6">
        <v>19.6261253982535</v>
      </c>
      <c r="AL6" s="6">
        <v>19.454459248856772</v>
      </c>
      <c r="AM6" s="6">
        <v>12.073087610978849</v>
      </c>
      <c r="AN6" s="6">
        <v>72.12294208892979</v>
      </c>
      <c r="AO6" s="6">
        <v>8.4225986622134439</v>
      </c>
      <c r="AP6">
        <v>9039.5</v>
      </c>
      <c r="AQ6">
        <v>14033.4</v>
      </c>
      <c r="AR6">
        <v>64.414183305542494</v>
      </c>
      <c r="AS6">
        <v>771.8</v>
      </c>
      <c r="AT6">
        <v>5.4997363432952815</v>
      </c>
      <c r="AU6">
        <v>35.439066797782431</v>
      </c>
      <c r="AV6">
        <v>199</v>
      </c>
      <c r="AW6">
        <v>2.21</v>
      </c>
      <c r="AX6">
        <v>8.8000000000000007</v>
      </c>
      <c r="AY6">
        <v>3215825.0047600726</v>
      </c>
      <c r="AZ6">
        <v>28</v>
      </c>
      <c r="BA6">
        <v>75.97</v>
      </c>
      <c r="BB6">
        <v>31</v>
      </c>
      <c r="BC6">
        <v>21.379310344827587</v>
      </c>
      <c r="BD6">
        <v>2</v>
      </c>
      <c r="BE6" s="1">
        <v>2.2454932744644602E-3</v>
      </c>
      <c r="BF6" s="3">
        <v>14.2771161127282</v>
      </c>
      <c r="BG6" s="3">
        <v>11.2245116229525</v>
      </c>
      <c r="BH6" s="3">
        <v>0</v>
      </c>
      <c r="BI6" s="4">
        <v>0</v>
      </c>
      <c r="BJ6" s="4">
        <v>10.300297066438899</v>
      </c>
      <c r="BK6" s="3">
        <v>12.186600410218301</v>
      </c>
      <c r="BL6">
        <v>1242867</v>
      </c>
      <c r="BM6">
        <v>9.3676590639312796</v>
      </c>
      <c r="BN6">
        <v>11258490</v>
      </c>
      <c r="BO6">
        <v>84.856783464907878</v>
      </c>
      <c r="BP6">
        <v>60713</v>
      </c>
      <c r="BQ6">
        <v>0.7</v>
      </c>
      <c r="BR6">
        <v>8.4225986622134439</v>
      </c>
      <c r="BS6">
        <v>30.589325162117866</v>
      </c>
      <c r="BT6">
        <v>0.97899999999999998</v>
      </c>
      <c r="BU6">
        <v>0.40849999999999997</v>
      </c>
      <c r="BV6">
        <v>0.31469999999999998</v>
      </c>
      <c r="BW6">
        <v>20.632604206967805</v>
      </c>
      <c r="BX6">
        <v>58.9</v>
      </c>
      <c r="BY6">
        <v>30.3</v>
      </c>
      <c r="BZ6">
        <v>1.8</v>
      </c>
      <c r="CA6">
        <v>2.1</v>
      </c>
      <c r="CB6">
        <v>0.1</v>
      </c>
      <c r="CC6">
        <v>0</v>
      </c>
      <c r="CD6">
        <v>16.2</v>
      </c>
      <c r="CE6">
        <v>2.1</v>
      </c>
      <c r="CF6">
        <v>0</v>
      </c>
      <c r="CG6" t="s">
        <v>50</v>
      </c>
      <c r="CH6">
        <v>0.62502282370447804</v>
      </c>
      <c r="CI6">
        <v>0.39611230428747501</v>
      </c>
      <c r="CJ6">
        <v>1</v>
      </c>
      <c r="CK6" s="6">
        <v>3295</v>
      </c>
      <c r="CL6" s="6">
        <v>4629</v>
      </c>
      <c r="CM6" s="6">
        <v>13162</v>
      </c>
      <c r="CN6" s="4">
        <f t="shared" si="0"/>
        <v>31013.813999999998</v>
      </c>
      <c r="CO6" s="4">
        <f t="shared" si="1"/>
        <v>0.23062924336809687</v>
      </c>
      <c r="CP6" s="4">
        <f t="shared" si="2"/>
        <v>0.32400083992440681</v>
      </c>
      <c r="CQ6" s="4">
        <f t="shared" si="3"/>
        <v>0.92125708686218244</v>
      </c>
      <c r="CR6" s="4">
        <v>0.10624297933817492</v>
      </c>
      <c r="CS6" s="4">
        <v>0.149256070214389</v>
      </c>
      <c r="CT6" s="4">
        <v>0.42439153081913761</v>
      </c>
      <c r="CU6" s="6">
        <v>5.7009587976159633E-2</v>
      </c>
      <c r="CV6">
        <v>11.1</v>
      </c>
      <c r="CW6">
        <v>1600.7341730865101</v>
      </c>
      <c r="CX6">
        <v>9.1999999999999993</v>
      </c>
      <c r="CY6">
        <v>15580</v>
      </c>
      <c r="CZ6">
        <v>1.0905018548330649</v>
      </c>
    </row>
    <row r="7" spans="1:104" x14ac:dyDescent="0.2">
      <c r="A7">
        <v>6</v>
      </c>
      <c r="B7" t="s">
        <v>112</v>
      </c>
      <c r="C7" t="s">
        <v>113</v>
      </c>
      <c r="D7">
        <v>2623</v>
      </c>
      <c r="E7">
        <v>1.65</v>
      </c>
      <c r="F7">
        <v>1220818</v>
      </c>
      <c r="G7">
        <v>214.85594085277248</v>
      </c>
      <c r="H7">
        <v>1465</v>
      </c>
      <c r="I7">
        <v>1.9575355095605231</v>
      </c>
      <c r="J7">
        <v>120.00150718616534</v>
      </c>
      <c r="K7">
        <v>55.852077773541744</v>
      </c>
      <c r="L7" s="6">
        <v>3119.8412385956799</v>
      </c>
      <c r="M7" s="9">
        <v>525</v>
      </c>
      <c r="N7" s="6">
        <v>43.003953087192357</v>
      </c>
      <c r="O7" s="6">
        <v>20.015249714067863</v>
      </c>
      <c r="P7" s="10">
        <v>340</v>
      </c>
      <c r="Q7" s="6">
        <v>27.85017914218172</v>
      </c>
      <c r="R7" s="6">
        <v>23.208191126279864</v>
      </c>
      <c r="S7" s="6">
        <v>64.761904761904759</v>
      </c>
      <c r="T7" s="10">
        <v>11</v>
      </c>
      <c r="U7" s="10">
        <v>13</v>
      </c>
      <c r="V7" s="6">
        <v>2908.1395247979599</v>
      </c>
      <c r="W7" s="10">
        <v>1703</v>
      </c>
      <c r="X7" s="6">
        <v>139.49663258569254</v>
      </c>
      <c r="Y7" s="6">
        <v>64.92565764391918</v>
      </c>
      <c r="Z7" s="10">
        <v>960</v>
      </c>
      <c r="AA7" s="6">
        <v>82.555789654727604</v>
      </c>
      <c r="AB7" s="6">
        <v>65.529010238907844</v>
      </c>
      <c r="AC7" s="6">
        <v>56.371109806224304</v>
      </c>
      <c r="AD7" s="10">
        <v>15</v>
      </c>
      <c r="AE7" s="10">
        <v>24</v>
      </c>
      <c r="AF7" s="6">
        <v>2987.3553562502798</v>
      </c>
      <c r="AG7" s="7">
        <v>1769</v>
      </c>
      <c r="AH7" s="6">
        <v>886</v>
      </c>
      <c r="AI7" s="6">
        <v>50.084793668739401</v>
      </c>
      <c r="AJ7" s="6">
        <v>32.259060057506602</v>
      </c>
      <c r="AK7" s="6">
        <v>20.282710238565901</v>
      </c>
      <c r="AL7" s="6">
        <v>22.35415824597008</v>
      </c>
      <c r="AM7" s="6">
        <v>12.341410606827194</v>
      </c>
      <c r="AN7" s="6">
        <v>69.21939789310639</v>
      </c>
      <c r="AO7" s="6">
        <v>8.4264438609235395</v>
      </c>
      <c r="AP7">
        <v>705.8</v>
      </c>
      <c r="AQ7">
        <v>1766.5</v>
      </c>
      <c r="AR7">
        <v>39.954712708746101</v>
      </c>
      <c r="AS7">
        <v>605.9</v>
      </c>
      <c r="AT7">
        <v>34.299462213416362</v>
      </c>
      <c r="AU7">
        <v>69.109425417492218</v>
      </c>
      <c r="AV7">
        <v>24</v>
      </c>
      <c r="AW7">
        <v>1.93</v>
      </c>
      <c r="AX7">
        <v>2.8</v>
      </c>
      <c r="AY7">
        <v>1621995.977752618</v>
      </c>
      <c r="AZ7">
        <v>15</v>
      </c>
      <c r="BA7">
        <v>31.8</v>
      </c>
      <c r="BB7">
        <v>3</v>
      </c>
      <c r="BC7">
        <v>2.0689655172413794</v>
      </c>
      <c r="BD7">
        <v>12</v>
      </c>
      <c r="BE7" s="1">
        <v>5.9803447008518204E-4</v>
      </c>
      <c r="BF7" s="3">
        <v>3.8023750353277501</v>
      </c>
      <c r="BG7" s="3">
        <v>1.3887772793325199</v>
      </c>
      <c r="BH7" s="3">
        <v>0</v>
      </c>
      <c r="BI7" s="4">
        <v>0</v>
      </c>
      <c r="BJ7" s="4">
        <v>32.5569818433599</v>
      </c>
      <c r="BK7" s="3">
        <v>22.937029928877699</v>
      </c>
      <c r="BL7">
        <v>80912</v>
      </c>
      <c r="BM7">
        <v>4.6548393369362238</v>
      </c>
      <c r="BN7">
        <v>1329370</v>
      </c>
      <c r="BO7">
        <v>76.478195685966327</v>
      </c>
      <c r="BP7">
        <v>19768</v>
      </c>
      <c r="BQ7">
        <v>1.31</v>
      </c>
      <c r="BR7">
        <v>8.4264438609235395</v>
      </c>
      <c r="BS7">
        <v>11.211778029445073</v>
      </c>
      <c r="BT7">
        <v>1.0940000000000001</v>
      </c>
      <c r="BU7">
        <v>0.37869999999999998</v>
      </c>
      <c r="BV7">
        <v>0.39479999999999998</v>
      </c>
      <c r="BW7">
        <v>1.2037229450814062</v>
      </c>
      <c r="BX7">
        <v>24.3</v>
      </c>
      <c r="BY7">
        <v>58.9</v>
      </c>
      <c r="BZ7">
        <v>10.3</v>
      </c>
      <c r="CA7">
        <v>5.4</v>
      </c>
      <c r="CB7">
        <v>0.3</v>
      </c>
      <c r="CC7">
        <v>0.3</v>
      </c>
      <c r="CD7">
        <v>0.5</v>
      </c>
      <c r="CE7">
        <v>0.3</v>
      </c>
      <c r="CF7">
        <v>0</v>
      </c>
      <c r="CG7" t="s">
        <v>63</v>
      </c>
      <c r="CH7">
        <v>0.58295899937276896</v>
      </c>
      <c r="CI7">
        <v>0.55408898459512301</v>
      </c>
      <c r="CJ7">
        <v>0.73591449432870204</v>
      </c>
      <c r="CK7" s="6">
        <v>519</v>
      </c>
      <c r="CL7" s="6">
        <v>961</v>
      </c>
      <c r="CM7" s="6">
        <v>2677</v>
      </c>
      <c r="CN7" s="4">
        <f t="shared" si="0"/>
        <v>3409.3449999999998</v>
      </c>
      <c r="CO7" s="4">
        <f t="shared" si="1"/>
        <v>0.29338609383832676</v>
      </c>
      <c r="CP7" s="4">
        <f t="shared" si="2"/>
        <v>0.54324477105709446</v>
      </c>
      <c r="CQ7" s="4">
        <f t="shared" si="3"/>
        <v>1.5132843414358395</v>
      </c>
      <c r="CR7" s="4">
        <v>0.15222865389099666</v>
      </c>
      <c r="CS7" s="4">
        <v>0.28187232444941773</v>
      </c>
      <c r="CT7" s="4">
        <v>0.78519481014681713</v>
      </c>
      <c r="CU7" s="6">
        <v>7.4269681465588377E-2</v>
      </c>
      <c r="CV7">
        <v>6.8</v>
      </c>
      <c r="CW7">
        <v>2956.8614700399999</v>
      </c>
      <c r="CX7">
        <v>3.7</v>
      </c>
      <c r="CY7">
        <v>1276</v>
      </c>
      <c r="CZ7">
        <v>0.72131147540983609</v>
      </c>
    </row>
    <row r="8" spans="1:104" x14ac:dyDescent="0.2">
      <c r="A8">
        <v>7</v>
      </c>
      <c r="B8" t="s">
        <v>103</v>
      </c>
      <c r="C8" t="s">
        <v>104</v>
      </c>
      <c r="D8">
        <v>6454</v>
      </c>
      <c r="E8">
        <v>4.07</v>
      </c>
      <c r="F8">
        <v>1263587</v>
      </c>
      <c r="G8">
        <v>510.76815446819256</v>
      </c>
      <c r="H8">
        <v>2556</v>
      </c>
      <c r="I8">
        <v>3.4153315784550839</v>
      </c>
      <c r="J8">
        <v>202.28128336236446</v>
      </c>
      <c r="K8">
        <v>39.60334676169817</v>
      </c>
      <c r="L8" s="6">
        <v>2478.7451277172399</v>
      </c>
      <c r="M8" s="9">
        <v>1120</v>
      </c>
      <c r="N8" s="6">
        <v>88.636556089924952</v>
      </c>
      <c r="O8" s="6">
        <v>17.35357917570499</v>
      </c>
      <c r="P8" s="10">
        <v>510</v>
      </c>
      <c r="Q8" s="6">
        <v>40.361288933805113</v>
      </c>
      <c r="R8" s="6">
        <v>19.953051643192488</v>
      </c>
      <c r="S8" s="6">
        <v>45.535714285714285</v>
      </c>
      <c r="T8" s="10">
        <v>20</v>
      </c>
      <c r="U8" s="10">
        <v>29</v>
      </c>
      <c r="V8" s="6">
        <v>2650.7642342681102</v>
      </c>
      <c r="W8" s="10">
        <v>2712</v>
      </c>
      <c r="X8" s="6">
        <v>214.62708938917541</v>
      </c>
      <c r="Y8" s="6">
        <v>42.020452432599939</v>
      </c>
      <c r="Z8" s="10">
        <v>706</v>
      </c>
      <c r="AA8" s="6">
        <v>136.35029278618111</v>
      </c>
      <c r="AB8" s="6">
        <v>27.62128325508607</v>
      </c>
      <c r="AC8" s="6">
        <v>26.032448377581119</v>
      </c>
      <c r="AD8" s="10">
        <v>3</v>
      </c>
      <c r="AE8" s="10">
        <v>26</v>
      </c>
      <c r="AF8" s="6">
        <v>1742.3812860089899</v>
      </c>
      <c r="AG8" s="7">
        <v>2002</v>
      </c>
      <c r="AH8" s="6">
        <v>1001</v>
      </c>
      <c r="AI8" s="6">
        <v>50</v>
      </c>
      <c r="AJ8" s="6">
        <v>29.5718097900332</v>
      </c>
      <c r="AK8" s="6">
        <v>19.4358489451491</v>
      </c>
      <c r="AL8" s="6">
        <v>26.120495357707014</v>
      </c>
      <c r="AM8" s="6">
        <v>13.749537418764243</v>
      </c>
      <c r="AN8" s="6">
        <v>67.643535024578611</v>
      </c>
      <c r="AO8" s="6">
        <v>6.2359696177143764</v>
      </c>
      <c r="AP8">
        <v>511.1</v>
      </c>
      <c r="AQ8">
        <v>1972.7</v>
      </c>
      <c r="AR8">
        <v>25.908653115020027</v>
      </c>
      <c r="AS8">
        <v>856.2</v>
      </c>
      <c r="AT8">
        <v>43.402443351751408</v>
      </c>
      <c r="AU8">
        <v>64.053682769807878</v>
      </c>
      <c r="AV8">
        <v>26</v>
      </c>
      <c r="AW8">
        <v>1.63</v>
      </c>
      <c r="AX8">
        <v>2</v>
      </c>
      <c r="AY8">
        <v>1420324.1031074161</v>
      </c>
      <c r="AZ8">
        <v>17</v>
      </c>
      <c r="BA8">
        <v>42.78</v>
      </c>
      <c r="BB8">
        <v>4</v>
      </c>
      <c r="BC8">
        <v>2.7586206896551726</v>
      </c>
      <c r="BD8">
        <v>14</v>
      </c>
      <c r="BE8" s="1">
        <v>5.3321695461364105E-4</v>
      </c>
      <c r="BF8" s="3">
        <v>3.3902574818933302</v>
      </c>
      <c r="BG8" s="3">
        <v>2.3694931553548302</v>
      </c>
      <c r="BH8" s="3">
        <v>0</v>
      </c>
      <c r="BI8" s="4">
        <v>0</v>
      </c>
      <c r="BJ8" s="4">
        <v>22.503804641390801</v>
      </c>
      <c r="BK8" s="3">
        <v>24.275720266381398</v>
      </c>
      <c r="BL8">
        <v>97054</v>
      </c>
      <c r="BM8">
        <v>5.193333329766018</v>
      </c>
      <c r="BN8">
        <v>1413442</v>
      </c>
      <c r="BO8">
        <v>75.632899708318462</v>
      </c>
      <c r="BQ8">
        <v>0.98</v>
      </c>
      <c r="BR8">
        <v>6.2359696177143764</v>
      </c>
      <c r="BS8">
        <v>9.6563608717688805</v>
      </c>
      <c r="BT8">
        <v>1.0249999999999999</v>
      </c>
      <c r="BU8">
        <v>0.3997</v>
      </c>
      <c r="BV8">
        <v>0.37659999999999999</v>
      </c>
      <c r="BW8">
        <v>1.117155392242013</v>
      </c>
      <c r="BX8">
        <v>47.2</v>
      </c>
      <c r="BY8">
        <v>3.9</v>
      </c>
      <c r="BZ8">
        <v>0.3</v>
      </c>
      <c r="CA8">
        <v>0</v>
      </c>
      <c r="CB8">
        <v>3.9</v>
      </c>
      <c r="CC8">
        <v>0</v>
      </c>
      <c r="CD8">
        <v>30.4</v>
      </c>
      <c r="CE8">
        <v>0.6</v>
      </c>
      <c r="CF8">
        <v>0</v>
      </c>
      <c r="CG8" t="s">
        <v>74</v>
      </c>
      <c r="CH8">
        <v>0.57263661618568995</v>
      </c>
      <c r="CI8">
        <v>0.39956935172205998</v>
      </c>
      <c r="CJ8">
        <v>0.88081942716156703</v>
      </c>
      <c r="CK8" s="6">
        <v>624</v>
      </c>
      <c r="CL8" s="6">
        <v>1218</v>
      </c>
      <c r="CM8" s="6">
        <v>3885.9999999999995</v>
      </c>
      <c r="CN8" s="4">
        <f t="shared" si="0"/>
        <v>3215.5009999999997</v>
      </c>
      <c r="CO8" s="4">
        <f t="shared" si="1"/>
        <v>0.31168831168831168</v>
      </c>
      <c r="CP8" s="4">
        <f t="shared" si="2"/>
        <v>0.60839160839160844</v>
      </c>
      <c r="CQ8" s="4">
        <f t="shared" si="3"/>
        <v>1.9410589410589407</v>
      </c>
      <c r="CR8" s="4">
        <v>0.19405996141814294</v>
      </c>
      <c r="CS8" s="4">
        <v>0.37879011699887516</v>
      </c>
      <c r="CT8" s="4">
        <v>1.2085208494726016</v>
      </c>
      <c r="CU8" s="6">
        <v>4.6718056528848396E-2</v>
      </c>
      <c r="CV8">
        <v>7.4</v>
      </c>
      <c r="CW8">
        <v>2532.8526170876698</v>
      </c>
      <c r="CX8">
        <v>3.4</v>
      </c>
      <c r="CY8">
        <v>1345</v>
      </c>
      <c r="CZ8">
        <v>0.67182817182817178</v>
      </c>
    </row>
    <row r="9" spans="1:104" x14ac:dyDescent="0.2">
      <c r="A9">
        <v>8</v>
      </c>
      <c r="B9" t="s">
        <v>105</v>
      </c>
      <c r="C9" t="s">
        <v>106</v>
      </c>
      <c r="D9">
        <v>7024</v>
      </c>
      <c r="E9">
        <v>4.43</v>
      </c>
      <c r="F9">
        <v>1497671</v>
      </c>
      <c r="G9">
        <v>468.99485935161988</v>
      </c>
      <c r="H9">
        <v>3584</v>
      </c>
      <c r="I9">
        <v>4.7889469394299766</v>
      </c>
      <c r="J9">
        <v>239.30489406551905</v>
      </c>
      <c r="K9">
        <v>51.025056947608206</v>
      </c>
      <c r="L9" s="6">
        <v>3660.1387940804202</v>
      </c>
      <c r="M9" s="9">
        <v>867</v>
      </c>
      <c r="N9" s="6">
        <v>57.889883692746942</v>
      </c>
      <c r="O9" s="6">
        <v>12.343394077448746</v>
      </c>
      <c r="P9" s="10">
        <v>450</v>
      </c>
      <c r="Q9" s="6">
        <v>30.0466524356818</v>
      </c>
      <c r="R9" s="6">
        <v>12.555803571428573</v>
      </c>
      <c r="S9" s="6">
        <v>51.903114186851205</v>
      </c>
      <c r="T9" s="10">
        <v>3</v>
      </c>
      <c r="U9" s="10">
        <v>17</v>
      </c>
      <c r="V9" s="6">
        <v>3131.3152135657101</v>
      </c>
      <c r="W9" s="10">
        <v>4890</v>
      </c>
      <c r="X9" s="6">
        <v>326.50695646774227</v>
      </c>
      <c r="Y9" s="6">
        <v>69.618451025056942</v>
      </c>
      <c r="Z9" s="10">
        <v>2518</v>
      </c>
      <c r="AA9" s="6">
        <v>199.27397163788484</v>
      </c>
      <c r="AB9" s="6">
        <v>70.256696428571431</v>
      </c>
      <c r="AC9" s="6">
        <v>51.492842535787318</v>
      </c>
      <c r="AD9" s="10">
        <v>6</v>
      </c>
      <c r="AE9" s="10">
        <v>232</v>
      </c>
      <c r="AF9" s="6">
        <v>3651.9956692259102</v>
      </c>
      <c r="AG9" s="7">
        <v>2567</v>
      </c>
      <c r="AH9" s="6">
        <v>1286</v>
      </c>
      <c r="AI9" s="6">
        <v>50.097389949357229</v>
      </c>
      <c r="AJ9" s="6">
        <v>35.504312252439703</v>
      </c>
      <c r="AK9" s="6">
        <v>20.321943725779899</v>
      </c>
      <c r="AL9" s="6">
        <v>15.588597744413615</v>
      </c>
      <c r="AM9" s="6">
        <v>12.142744748571758</v>
      </c>
      <c r="AN9" s="6">
        <v>73.650433964351208</v>
      </c>
      <c r="AO9" s="6">
        <v>10.760968291235182</v>
      </c>
      <c r="AP9">
        <v>937.6</v>
      </c>
      <c r="AQ9">
        <v>2563</v>
      </c>
      <c r="AR9">
        <v>36.582130316035901</v>
      </c>
      <c r="AS9">
        <v>868.8</v>
      </c>
      <c r="AT9">
        <v>33.897776043698791</v>
      </c>
      <c r="AU9">
        <v>58.434295747171284</v>
      </c>
      <c r="AV9">
        <v>36</v>
      </c>
      <c r="AW9">
        <v>1.65</v>
      </c>
      <c r="AX9">
        <v>5.0999999999999996</v>
      </c>
      <c r="AY9">
        <v>1357891.2672649238</v>
      </c>
      <c r="AZ9">
        <v>25</v>
      </c>
      <c r="BA9">
        <v>34.659999999999997</v>
      </c>
      <c r="BB9">
        <v>5</v>
      </c>
      <c r="BC9">
        <v>3.4482758620689653</v>
      </c>
      <c r="BD9">
        <v>13</v>
      </c>
      <c r="BE9" s="1">
        <v>5.5857079279140597E-4</v>
      </c>
      <c r="BF9" s="3">
        <v>3.5514602321681399</v>
      </c>
      <c r="BG9" s="3">
        <v>0.97580616124375796</v>
      </c>
      <c r="BH9" s="3">
        <v>0</v>
      </c>
      <c r="BI9" s="4">
        <v>0</v>
      </c>
      <c r="BJ9" s="4">
        <v>34.648245856738399</v>
      </c>
      <c r="BK9" s="3">
        <v>25.627100353339902</v>
      </c>
      <c r="BL9">
        <v>160364</v>
      </c>
      <c r="BM9">
        <v>6.3367547899866272</v>
      </c>
      <c r="BN9">
        <v>2056087</v>
      </c>
      <c r="BO9">
        <v>81.245910216003807</v>
      </c>
      <c r="BP9">
        <v>23490</v>
      </c>
      <c r="BQ9">
        <v>1.1299999999999999</v>
      </c>
      <c r="BR9">
        <v>10.760968291235182</v>
      </c>
      <c r="BS9">
        <v>17.70269215762778</v>
      </c>
      <c r="BT9">
        <v>0.99299999999999999</v>
      </c>
      <c r="BU9">
        <v>0.28050000000000003</v>
      </c>
      <c r="BV9">
        <v>0.26519999999999999</v>
      </c>
      <c r="BW9">
        <v>1.8248546310730036</v>
      </c>
      <c r="BX9">
        <v>4.5</v>
      </c>
      <c r="BY9">
        <v>7.9</v>
      </c>
      <c r="BZ9">
        <v>0.9</v>
      </c>
      <c r="CA9">
        <v>0</v>
      </c>
      <c r="CB9">
        <v>0</v>
      </c>
      <c r="CC9">
        <v>0.2</v>
      </c>
      <c r="CD9">
        <v>2.1</v>
      </c>
      <c r="CE9">
        <v>66.5</v>
      </c>
      <c r="CF9">
        <v>20</v>
      </c>
      <c r="CG9" t="s">
        <v>107</v>
      </c>
      <c r="CH9">
        <v>0.52897382201966403</v>
      </c>
      <c r="CI9">
        <v>0.624555631225306</v>
      </c>
      <c r="CJ9">
        <v>0.14206860319591499</v>
      </c>
      <c r="CK9" s="6">
        <v>671</v>
      </c>
      <c r="CL9" s="6">
        <v>1413</v>
      </c>
      <c r="CM9" s="6">
        <v>3670</v>
      </c>
      <c r="CN9" s="4">
        <f t="shared" si="0"/>
        <v>4228.95</v>
      </c>
      <c r="CO9" s="4">
        <f t="shared" si="1"/>
        <v>0.26139462407479547</v>
      </c>
      <c r="CP9" s="4">
        <f t="shared" si="2"/>
        <v>0.55044799376704323</v>
      </c>
      <c r="CQ9" s="4">
        <f t="shared" si="3"/>
        <v>1.4296844565640825</v>
      </c>
      <c r="CR9" s="4">
        <v>0.15866822733775524</v>
      </c>
      <c r="CS9" s="4">
        <v>0.3341254921434399</v>
      </c>
      <c r="CT9" s="4">
        <v>0.8678277113704348</v>
      </c>
      <c r="CU9" s="6">
        <v>5.8701657458563539E-2</v>
      </c>
      <c r="CV9">
        <v>7</v>
      </c>
      <c r="CW9">
        <v>2665.0835093823498</v>
      </c>
      <c r="CX9">
        <v>4.5999999999999996</v>
      </c>
      <c r="CY9">
        <v>2408</v>
      </c>
      <c r="CZ9">
        <v>0.93805999220880409</v>
      </c>
    </row>
    <row r="10" spans="1:104" x14ac:dyDescent="0.2">
      <c r="A10">
        <v>9</v>
      </c>
      <c r="B10" t="s">
        <v>101</v>
      </c>
      <c r="C10" t="s">
        <v>102</v>
      </c>
      <c r="D10">
        <v>2398</v>
      </c>
      <c r="E10">
        <v>1.51</v>
      </c>
      <c r="F10">
        <v>635611</v>
      </c>
      <c r="G10">
        <v>377.27477970016253</v>
      </c>
      <c r="H10">
        <v>885</v>
      </c>
      <c r="I10">
        <v>1.1825385160143775</v>
      </c>
      <c r="J10">
        <v>139.23610510201996</v>
      </c>
      <c r="K10">
        <v>36.905754795663057</v>
      </c>
      <c r="L10" s="6">
        <v>2345.6341688013299</v>
      </c>
      <c r="M10" s="9">
        <v>221</v>
      </c>
      <c r="N10" s="6">
        <v>34.769694042425321</v>
      </c>
      <c r="O10" s="6">
        <v>9.216013344453712</v>
      </c>
      <c r="P10" s="10">
        <v>135</v>
      </c>
      <c r="Q10" s="6">
        <v>21.239405863019993</v>
      </c>
      <c r="R10" s="6">
        <v>15.254237288135593</v>
      </c>
      <c r="S10" s="6">
        <v>61.085972850678736</v>
      </c>
      <c r="T10" s="10">
        <v>11</v>
      </c>
      <c r="U10" s="10">
        <v>21</v>
      </c>
      <c r="V10" s="6">
        <v>3118.1809944373799</v>
      </c>
      <c r="W10" s="10">
        <v>1868</v>
      </c>
      <c r="X10" s="6">
        <v>293.89044557126925</v>
      </c>
      <c r="Y10" s="6">
        <v>77.898248540450382</v>
      </c>
      <c r="Z10" s="10">
        <v>651</v>
      </c>
      <c r="AA10" s="6">
        <v>102.42113493945195</v>
      </c>
      <c r="AB10" s="6">
        <v>73.559322033898297</v>
      </c>
      <c r="AC10" s="6">
        <v>34.850107066381156</v>
      </c>
      <c r="AD10" s="10">
        <v>10</v>
      </c>
      <c r="AE10" s="10">
        <v>50</v>
      </c>
      <c r="AF10" s="6">
        <v>2206.96158114529</v>
      </c>
      <c r="AG10" s="7">
        <v>1435</v>
      </c>
      <c r="AH10" s="6">
        <v>709</v>
      </c>
      <c r="AI10" s="6">
        <v>49.407665505226483</v>
      </c>
      <c r="AJ10" s="6">
        <v>29.598639771628999</v>
      </c>
      <c r="AK10" s="6">
        <v>19.2949553778361</v>
      </c>
      <c r="AL10" s="6">
        <v>25.231242717039198</v>
      </c>
      <c r="AM10" s="6">
        <v>13.718658875873258</v>
      </c>
      <c r="AN10" s="6">
        <v>68.910678144705813</v>
      </c>
      <c r="AO10" s="6">
        <v>5.8580791382549888</v>
      </c>
      <c r="AP10">
        <v>1353.3316426074853</v>
      </c>
      <c r="AQ10">
        <v>1399.4</v>
      </c>
      <c r="AR10">
        <v>96.707992182898749</v>
      </c>
      <c r="AS10">
        <v>60.2</v>
      </c>
      <c r="AT10">
        <v>4.301843647277404</v>
      </c>
      <c r="AU10">
        <v>45.420251536372731</v>
      </c>
      <c r="AV10">
        <v>9</v>
      </c>
      <c r="AW10">
        <v>1.49</v>
      </c>
      <c r="AX10">
        <v>2.1</v>
      </c>
      <c r="AY10">
        <v>1519237.9538373591</v>
      </c>
      <c r="AZ10">
        <v>21</v>
      </c>
      <c r="BA10">
        <v>100</v>
      </c>
      <c r="BB10">
        <v>2</v>
      </c>
      <c r="BC10">
        <v>1.3793103448275863</v>
      </c>
      <c r="BD10">
        <v>5</v>
      </c>
      <c r="BE10" s="1">
        <v>1.1151290966233999E-3</v>
      </c>
      <c r="BF10" s="3">
        <v>7.0901248176621898</v>
      </c>
      <c r="BG10" s="3">
        <v>0</v>
      </c>
      <c r="BH10" s="3">
        <v>0</v>
      </c>
      <c r="BI10" s="4">
        <v>0</v>
      </c>
      <c r="BJ10" s="4">
        <v>6.72</v>
      </c>
      <c r="BK10" s="3">
        <v>0</v>
      </c>
      <c r="BL10">
        <v>74131</v>
      </c>
      <c r="BM10">
        <v>5.7364369878733994</v>
      </c>
      <c r="BN10">
        <v>1010888</v>
      </c>
      <c r="BO10">
        <v>78.224970846169143</v>
      </c>
      <c r="BQ10">
        <v>0.7</v>
      </c>
      <c r="BR10">
        <v>5.8580791382549888</v>
      </c>
      <c r="BS10">
        <v>31.89421015010722</v>
      </c>
      <c r="BT10">
        <v>0.98199999999999998</v>
      </c>
      <c r="BU10">
        <v>0.28199999999999997</v>
      </c>
      <c r="BV10">
        <v>0.3483</v>
      </c>
      <c r="BW10">
        <v>0.84626011406378354</v>
      </c>
      <c r="BX10">
        <v>64.400000000000006</v>
      </c>
      <c r="BY10">
        <v>25.8</v>
      </c>
      <c r="BZ10">
        <v>1.7</v>
      </c>
      <c r="CA10">
        <v>0.4</v>
      </c>
      <c r="CB10">
        <v>0.4</v>
      </c>
      <c r="CC10">
        <v>2.5</v>
      </c>
      <c r="CD10">
        <v>4.2</v>
      </c>
      <c r="CE10">
        <v>1.8</v>
      </c>
      <c r="CF10">
        <v>0</v>
      </c>
      <c r="CG10" t="s">
        <v>50</v>
      </c>
      <c r="CH10">
        <v>0.527084081925979</v>
      </c>
      <c r="CI10">
        <v>0.32975871802370399</v>
      </c>
      <c r="CJ10">
        <v>0.97873434172003804</v>
      </c>
      <c r="CK10" s="6">
        <v>258</v>
      </c>
      <c r="CL10" s="6">
        <v>400</v>
      </c>
      <c r="CM10" s="6">
        <v>1697</v>
      </c>
      <c r="CN10" s="4">
        <f t="shared" si="0"/>
        <v>2085.1060000000002</v>
      </c>
      <c r="CO10" s="4">
        <f t="shared" si="1"/>
        <v>0.17979094076655053</v>
      </c>
      <c r="CP10" s="4">
        <f t="shared" si="2"/>
        <v>0.27874564459930312</v>
      </c>
      <c r="CQ10" s="4">
        <f t="shared" si="3"/>
        <v>1.1825783972125437</v>
      </c>
      <c r="CR10" s="4">
        <v>0.12373471660433569</v>
      </c>
      <c r="CS10" s="4">
        <v>0.19183676992920262</v>
      </c>
      <c r="CT10" s="4">
        <v>0.81386749642464207</v>
      </c>
      <c r="CU10" s="6">
        <v>0.31561461794019929</v>
      </c>
      <c r="CV10">
        <v>4.9000000000000004</v>
      </c>
      <c r="CW10">
        <v>2073.6394823902601</v>
      </c>
      <c r="CX10">
        <v>4.0999999999999996</v>
      </c>
      <c r="CY10">
        <v>898</v>
      </c>
      <c r="CZ10">
        <v>0.62578397212543557</v>
      </c>
    </row>
    <row r="11" spans="1:104" x14ac:dyDescent="0.2">
      <c r="A11">
        <v>10</v>
      </c>
      <c r="B11" t="s">
        <v>45</v>
      </c>
      <c r="C11" t="s">
        <v>46</v>
      </c>
      <c r="D11">
        <v>1228</v>
      </c>
      <c r="E11">
        <v>0.77</v>
      </c>
      <c r="F11">
        <v>2723644</v>
      </c>
      <c r="G11">
        <v>45.086655965317057</v>
      </c>
      <c r="H11">
        <v>470</v>
      </c>
      <c r="I11">
        <v>0.6280148051149802</v>
      </c>
      <c r="J11">
        <v>17.256293406921021</v>
      </c>
      <c r="K11">
        <v>38.273615635179155</v>
      </c>
      <c r="L11" s="6">
        <v>2747.29300979448</v>
      </c>
      <c r="M11" s="9">
        <v>539</v>
      </c>
      <c r="N11" s="6">
        <v>19.789664141128576</v>
      </c>
      <c r="O11" s="6">
        <v>43.892508143322473</v>
      </c>
      <c r="P11" s="10">
        <v>175</v>
      </c>
      <c r="Q11" s="6">
        <v>6.4252156302365506</v>
      </c>
      <c r="R11" s="6">
        <v>37.234042553191486</v>
      </c>
      <c r="S11" s="6">
        <v>32.467532467532465</v>
      </c>
      <c r="T11" s="10">
        <v>10</v>
      </c>
      <c r="U11" s="10">
        <v>12</v>
      </c>
      <c r="V11" s="6">
        <v>2107.3028915386499</v>
      </c>
      <c r="W11" s="10">
        <v>178</v>
      </c>
      <c r="X11" s="6">
        <v>6.5353621838977478</v>
      </c>
      <c r="Y11" s="6">
        <v>14.495114006514658</v>
      </c>
      <c r="Z11" s="10">
        <v>70</v>
      </c>
      <c r="AA11" s="6">
        <v>2.5700862520946206</v>
      </c>
      <c r="AB11" s="6">
        <v>14.893617021276595</v>
      </c>
      <c r="AC11" s="6">
        <v>39.325842696629216</v>
      </c>
      <c r="AD11" s="10">
        <v>12</v>
      </c>
      <c r="AE11" s="10">
        <v>8</v>
      </c>
      <c r="AF11" s="6">
        <v>5037.6174461650498</v>
      </c>
      <c r="AG11" s="7">
        <v>3214</v>
      </c>
      <c r="AH11" s="6">
        <v>1594</v>
      </c>
      <c r="AI11" s="6">
        <v>49.595519601742375</v>
      </c>
      <c r="AJ11" s="6">
        <v>23.5399226814712</v>
      </c>
      <c r="AK11" s="6">
        <v>18.2816204022755</v>
      </c>
      <c r="AL11" s="6">
        <v>38.311807096378395</v>
      </c>
      <c r="AM11" s="6">
        <v>17.616722644423234</v>
      </c>
      <c r="AN11" s="6">
        <v>58.467750465720833</v>
      </c>
      <c r="AO11" s="6">
        <v>3.2204424379007781</v>
      </c>
      <c r="AP11">
        <v>770.8</v>
      </c>
      <c r="AQ11">
        <v>3085.2</v>
      </c>
      <c r="AR11">
        <v>24.983793595228835</v>
      </c>
      <c r="AS11">
        <v>1465.4</v>
      </c>
      <c r="AT11">
        <v>47.497731103332043</v>
      </c>
      <c r="AU11">
        <v>88.280954233112936</v>
      </c>
      <c r="AV11">
        <v>29</v>
      </c>
      <c r="AW11">
        <v>1.1299999999999999</v>
      </c>
      <c r="AX11">
        <v>0.6</v>
      </c>
      <c r="AY11">
        <v>1107212.1019706987</v>
      </c>
      <c r="AZ11">
        <v>1</v>
      </c>
      <c r="BA11">
        <v>22.65</v>
      </c>
      <c r="BB11">
        <v>1</v>
      </c>
      <c r="BC11">
        <v>0.68965517241379315</v>
      </c>
      <c r="BD11">
        <v>31</v>
      </c>
      <c r="BE11" s="2">
        <v>4.8805333913997402E-5</v>
      </c>
      <c r="BF11" s="3">
        <v>0.31031017867412503</v>
      </c>
      <c r="BG11" s="3">
        <v>0.51926891952501897</v>
      </c>
      <c r="BH11" s="1">
        <v>2051778</v>
      </c>
      <c r="BI11" s="4">
        <v>75.525589086034103</v>
      </c>
      <c r="BJ11" s="4">
        <v>223.968230386069</v>
      </c>
      <c r="BK11" s="3">
        <v>160.944115404695</v>
      </c>
      <c r="BL11">
        <v>76632</v>
      </c>
      <c r="BM11">
        <v>2.7614995816237324</v>
      </c>
      <c r="BN11">
        <v>1733192</v>
      </c>
      <c r="BO11">
        <v>62.457054270717194</v>
      </c>
      <c r="BP11">
        <v>41395</v>
      </c>
      <c r="BQ11">
        <v>3.46</v>
      </c>
      <c r="BR11">
        <v>3.2204424379007781</v>
      </c>
      <c r="BS11">
        <v>3.794165316045381</v>
      </c>
      <c r="BT11">
        <v>1.444</v>
      </c>
      <c r="BU11">
        <v>0.41980000000000001</v>
      </c>
      <c r="BV11">
        <v>0.2913</v>
      </c>
      <c r="BW11">
        <v>0.93006764234414463</v>
      </c>
      <c r="BX11">
        <v>33</v>
      </c>
      <c r="BY11">
        <v>0</v>
      </c>
      <c r="BZ11">
        <v>0.4</v>
      </c>
      <c r="CA11">
        <v>0</v>
      </c>
      <c r="CB11">
        <v>65.400000000000006</v>
      </c>
      <c r="CC11">
        <v>0</v>
      </c>
      <c r="CD11">
        <v>0.2</v>
      </c>
      <c r="CE11">
        <v>0</v>
      </c>
      <c r="CF11">
        <v>0</v>
      </c>
      <c r="CG11" t="s">
        <v>47</v>
      </c>
      <c r="CH11">
        <v>0.45246811549841898</v>
      </c>
      <c r="CI11">
        <v>0.60151787854654404</v>
      </c>
      <c r="CJ11">
        <v>0.39070756701875903</v>
      </c>
      <c r="CK11" s="6">
        <v>547</v>
      </c>
      <c r="CL11" s="6">
        <v>1108</v>
      </c>
      <c r="CM11" s="6">
        <v>2581</v>
      </c>
      <c r="CN11" s="4">
        <f t="shared" si="0"/>
        <v>3486.2759999999994</v>
      </c>
      <c r="CO11" s="4">
        <f t="shared" si="1"/>
        <v>0.17019290603609211</v>
      </c>
      <c r="CP11" s="4">
        <f t="shared" si="2"/>
        <v>0.3447417548226509</v>
      </c>
      <c r="CQ11" s="4">
        <f t="shared" si="3"/>
        <v>0.80304915992532666</v>
      </c>
      <c r="CR11" s="4">
        <v>0.15690094530668258</v>
      </c>
      <c r="CS11" s="4">
        <v>0.31781763692834425</v>
      </c>
      <c r="CT11" s="4">
        <v>0.74033151706864297</v>
      </c>
      <c r="CU11" s="6">
        <v>7.0287975979254805E-2</v>
      </c>
      <c r="CV11">
        <v>3.8</v>
      </c>
      <c r="CW11">
        <v>1347.1180119952201</v>
      </c>
      <c r="CX11">
        <v>1.5</v>
      </c>
      <c r="CY11">
        <v>1366</v>
      </c>
      <c r="CZ11">
        <v>0.42501555693839455</v>
      </c>
    </row>
    <row r="12" spans="1:104" x14ac:dyDescent="0.2">
      <c r="A12">
        <v>11</v>
      </c>
      <c r="B12" t="s">
        <v>110</v>
      </c>
      <c r="C12" t="s">
        <v>111</v>
      </c>
      <c r="D12">
        <v>1173</v>
      </c>
      <c r="E12">
        <v>0.74</v>
      </c>
      <c r="F12">
        <v>645307</v>
      </c>
      <c r="G12">
        <v>181.77394635421589</v>
      </c>
      <c r="H12">
        <v>713</v>
      </c>
      <c r="I12">
        <v>0.95271182137655497</v>
      </c>
      <c r="J12">
        <v>110.49004582315084</v>
      </c>
      <c r="K12">
        <v>60.784313725490193</v>
      </c>
      <c r="L12" s="6">
        <v>2415.3115888362699</v>
      </c>
      <c r="M12" s="9">
        <v>180</v>
      </c>
      <c r="N12" s="6">
        <v>27.893700207808063</v>
      </c>
      <c r="O12" s="6">
        <v>15.34526854219949</v>
      </c>
      <c r="P12" s="10">
        <v>164</v>
      </c>
      <c r="Q12" s="6">
        <v>25.414260189336236</v>
      </c>
      <c r="R12" s="6">
        <v>23.001402524544179</v>
      </c>
      <c r="S12" s="6">
        <v>91.111111111111114</v>
      </c>
      <c r="T12" s="10">
        <v>4</v>
      </c>
      <c r="U12" s="10">
        <v>1</v>
      </c>
      <c r="V12" s="6">
        <v>3176.1050630770401</v>
      </c>
      <c r="W12" s="10">
        <v>704</v>
      </c>
      <c r="X12" s="6">
        <v>109.09536081276045</v>
      </c>
      <c r="Y12" s="6">
        <v>60.017050298380227</v>
      </c>
      <c r="Z12" s="10">
        <v>402</v>
      </c>
      <c r="AA12" s="6">
        <v>23.528764499893768</v>
      </c>
      <c r="AB12" s="6">
        <v>56.381486676016834</v>
      </c>
      <c r="AC12" s="6">
        <v>57.102272727272727</v>
      </c>
      <c r="AD12" s="10">
        <v>9</v>
      </c>
      <c r="AE12" s="10">
        <v>5</v>
      </c>
      <c r="AF12" s="6">
        <v>1994.79312035148</v>
      </c>
      <c r="AG12" s="7">
        <v>1469</v>
      </c>
      <c r="AH12" s="6">
        <v>725</v>
      </c>
      <c r="AI12" s="6">
        <v>49.353301565690941</v>
      </c>
      <c r="AJ12" s="6">
        <v>32.747318421098697</v>
      </c>
      <c r="AK12" s="6">
        <v>20.309205367714402</v>
      </c>
      <c r="AL12" s="6">
        <v>19.867064633270598</v>
      </c>
      <c r="AM12" s="6">
        <v>12.803248169841439</v>
      </c>
      <c r="AN12" s="6">
        <v>71.6833374740919</v>
      </c>
      <c r="AO12" s="6">
        <v>8.4495978926375042</v>
      </c>
      <c r="AP12">
        <v>603.20000000000005</v>
      </c>
      <c r="AQ12">
        <v>1462.8</v>
      </c>
      <c r="AR12">
        <v>41.235985780694563</v>
      </c>
      <c r="AS12">
        <v>305.7</v>
      </c>
      <c r="AT12">
        <v>20.898277276456113</v>
      </c>
      <c r="AU12">
        <v>44.114506426032271</v>
      </c>
      <c r="AV12">
        <v>22</v>
      </c>
      <c r="AW12">
        <v>1.74</v>
      </c>
      <c r="AX12">
        <v>2.7</v>
      </c>
      <c r="AY12">
        <v>1736252.2854799016</v>
      </c>
      <c r="AZ12">
        <v>25</v>
      </c>
      <c r="BA12">
        <v>38.29</v>
      </c>
      <c r="BB12">
        <v>3</v>
      </c>
      <c r="BC12">
        <v>2.0689655172413794</v>
      </c>
      <c r="BD12">
        <v>9</v>
      </c>
      <c r="BE12" s="1">
        <v>8.1479980900872704E-4</v>
      </c>
      <c r="BF12" s="3">
        <v>5.1805951120565199</v>
      </c>
      <c r="BG12" s="3">
        <v>1.45903826836674</v>
      </c>
      <c r="BH12" s="3">
        <v>0</v>
      </c>
      <c r="BI12" s="4">
        <v>0</v>
      </c>
      <c r="BJ12" s="4">
        <v>35.773229163828098</v>
      </c>
      <c r="BK12" s="3">
        <v>28.331945847456499</v>
      </c>
      <c r="BL12">
        <v>93724</v>
      </c>
      <c r="BM12">
        <v>6.5565329928820031</v>
      </c>
      <c r="BN12">
        <v>1127151</v>
      </c>
      <c r="BO12">
        <v>78.850696934189131</v>
      </c>
      <c r="BP12">
        <v>2742</v>
      </c>
      <c r="BQ12">
        <v>0.25</v>
      </c>
      <c r="BR12">
        <v>8.4495978926375042</v>
      </c>
      <c r="BS12">
        <v>72.623376623376629</v>
      </c>
      <c r="BT12">
        <v>1.03</v>
      </c>
      <c r="BU12">
        <v>0.30570000000000003</v>
      </c>
      <c r="BV12">
        <v>0.33889999999999998</v>
      </c>
      <c r="BW12">
        <v>2.0519580211833555</v>
      </c>
      <c r="BX12">
        <v>72.3</v>
      </c>
      <c r="BY12">
        <v>20.8</v>
      </c>
      <c r="BZ12">
        <v>1.3</v>
      </c>
      <c r="CA12">
        <v>1.6</v>
      </c>
      <c r="CB12">
        <v>0</v>
      </c>
      <c r="CC12">
        <v>0.7</v>
      </c>
      <c r="CD12">
        <v>2.1</v>
      </c>
      <c r="CE12">
        <v>2.1</v>
      </c>
      <c r="CF12">
        <v>0</v>
      </c>
      <c r="CG12" t="s">
        <v>50</v>
      </c>
      <c r="CH12">
        <v>0.44272705216971903</v>
      </c>
      <c r="CI12">
        <v>0.26070388027891001</v>
      </c>
      <c r="CJ12">
        <v>0.95916781522264605</v>
      </c>
      <c r="CK12" s="6">
        <v>424</v>
      </c>
      <c r="CL12" s="6">
        <v>840</v>
      </c>
      <c r="CM12" s="6">
        <v>2163</v>
      </c>
      <c r="CN12" s="4">
        <f t="shared" si="0"/>
        <v>2545.2719999999999</v>
      </c>
      <c r="CO12" s="4">
        <f t="shared" si="1"/>
        <v>0.28863172226004086</v>
      </c>
      <c r="CP12" s="4">
        <f t="shared" si="2"/>
        <v>0.57181756296800546</v>
      </c>
      <c r="CQ12" s="4">
        <f t="shared" si="3"/>
        <v>1.472430224642614</v>
      </c>
      <c r="CR12" s="4">
        <v>0.16658337497917708</v>
      </c>
      <c r="CS12" s="4">
        <v>0.33002366741157724</v>
      </c>
      <c r="CT12" s="4">
        <v>0.84981094358481135</v>
      </c>
      <c r="CU12" s="6">
        <v>0.16355904481517827</v>
      </c>
      <c r="CV12">
        <v>6.6</v>
      </c>
      <c r="CW12">
        <v>2157.2950950120498</v>
      </c>
      <c r="CX12">
        <v>4.0999999999999996</v>
      </c>
      <c r="CY12">
        <v>1054</v>
      </c>
      <c r="CZ12">
        <v>0.71749489448604498</v>
      </c>
    </row>
    <row r="13" spans="1:104" x14ac:dyDescent="0.2">
      <c r="A13">
        <v>12</v>
      </c>
      <c r="B13" t="s">
        <v>93</v>
      </c>
      <c r="C13" t="s">
        <v>94</v>
      </c>
      <c r="D13">
        <v>1350</v>
      </c>
      <c r="E13">
        <v>0.85</v>
      </c>
      <c r="F13">
        <v>654679</v>
      </c>
      <c r="G13">
        <v>206.20792785471963</v>
      </c>
      <c r="H13">
        <v>783</v>
      </c>
      <c r="I13">
        <v>1.0462459412872966</v>
      </c>
      <c r="J13">
        <v>119.6005981557374</v>
      </c>
      <c r="K13">
        <v>57.999999999999993</v>
      </c>
      <c r="L13" s="6">
        <v>2741.6113534388501</v>
      </c>
      <c r="M13" s="9">
        <v>506</v>
      </c>
      <c r="N13" s="6">
        <v>77.289786292213435</v>
      </c>
      <c r="O13" s="6">
        <v>37.481481481481481</v>
      </c>
      <c r="P13" s="10">
        <v>347</v>
      </c>
      <c r="Q13" s="6">
        <v>53.003074789324238</v>
      </c>
      <c r="R13" s="6">
        <v>44.316730523627072</v>
      </c>
      <c r="S13" s="6">
        <v>68.577075098814234</v>
      </c>
      <c r="T13" s="10">
        <v>9</v>
      </c>
      <c r="U13" s="10">
        <v>21</v>
      </c>
      <c r="V13" s="6">
        <v>3107.9645133490999</v>
      </c>
      <c r="W13" s="10">
        <v>433</v>
      </c>
      <c r="X13" s="6">
        <v>66.139283526736008</v>
      </c>
      <c r="Y13" s="6">
        <v>32.074074074074069</v>
      </c>
      <c r="Z13" s="10">
        <v>250</v>
      </c>
      <c r="AA13" s="6">
        <v>38.186653306429562</v>
      </c>
      <c r="AB13" s="6">
        <v>31.928480204342275</v>
      </c>
      <c r="AC13" s="6">
        <v>57.736720554272516</v>
      </c>
      <c r="AD13" s="10">
        <v>4</v>
      </c>
      <c r="AE13" s="10">
        <v>17</v>
      </c>
      <c r="AF13" s="6">
        <v>2542.5127630511802</v>
      </c>
      <c r="AG13" s="7">
        <v>993</v>
      </c>
      <c r="AH13" s="6">
        <v>492</v>
      </c>
      <c r="AI13" s="6">
        <v>49.546827794561935</v>
      </c>
      <c r="AJ13" s="6">
        <v>29.960168312120199</v>
      </c>
      <c r="AK13" s="6">
        <v>19.7569619549175</v>
      </c>
      <c r="AL13" s="6">
        <v>25.63019834942175</v>
      </c>
      <c r="AM13" s="6">
        <v>13.636258326676693</v>
      </c>
      <c r="AN13" s="6">
        <v>67.757516295758307</v>
      </c>
      <c r="AO13" s="6">
        <v>6.612285354819929</v>
      </c>
      <c r="AP13">
        <v>341.8</v>
      </c>
      <c r="AQ13">
        <v>983.6</v>
      </c>
      <c r="AR13">
        <v>34.749898332655548</v>
      </c>
      <c r="AS13">
        <v>330.5</v>
      </c>
      <c r="AT13">
        <v>33.601057340382269</v>
      </c>
      <c r="AU13">
        <v>66.559475396502648</v>
      </c>
      <c r="AV13">
        <v>12</v>
      </c>
      <c r="AW13">
        <v>1.84</v>
      </c>
      <c r="AX13">
        <v>3</v>
      </c>
      <c r="AY13">
        <v>1834827.5473769829</v>
      </c>
      <c r="AZ13">
        <v>15</v>
      </c>
      <c r="BA13">
        <v>23.02</v>
      </c>
      <c r="BB13">
        <v>2</v>
      </c>
      <c r="BC13">
        <v>1.3793103448275863</v>
      </c>
      <c r="BD13">
        <v>11</v>
      </c>
      <c r="BE13" s="1">
        <v>7.0990686849290601E-4</v>
      </c>
      <c r="BF13" s="3">
        <v>4.5136731897421303</v>
      </c>
      <c r="BG13" s="3">
        <v>2.4078901211778598</v>
      </c>
      <c r="BH13" s="3">
        <v>0</v>
      </c>
      <c r="BI13" s="4">
        <v>0</v>
      </c>
      <c r="BJ13" s="4">
        <v>53.977878080686402</v>
      </c>
      <c r="BK13" s="3">
        <v>41.427689044461403</v>
      </c>
      <c r="BL13">
        <v>51025</v>
      </c>
      <c r="BM13">
        <v>5.3837298987194053</v>
      </c>
      <c r="BN13">
        <v>709075</v>
      </c>
      <c r="BO13">
        <v>74.815644839479916</v>
      </c>
      <c r="BP13">
        <v>285</v>
      </c>
      <c r="BQ13">
        <v>0.05</v>
      </c>
      <c r="BR13">
        <v>6.612285354819929</v>
      </c>
      <c r="BS13">
        <v>12.960365853658537</v>
      </c>
      <c r="BT13">
        <v>1.022</v>
      </c>
      <c r="BU13">
        <v>0.30719999999999997</v>
      </c>
      <c r="BV13">
        <v>0.3</v>
      </c>
      <c r="BW13">
        <v>0.5609064112463622</v>
      </c>
      <c r="BX13">
        <v>15.5</v>
      </c>
      <c r="BY13">
        <v>10.1</v>
      </c>
      <c r="BZ13">
        <v>0</v>
      </c>
      <c r="CA13">
        <v>73.3</v>
      </c>
      <c r="CB13">
        <v>0</v>
      </c>
      <c r="CC13">
        <v>0</v>
      </c>
      <c r="CD13">
        <v>0</v>
      </c>
      <c r="CE13">
        <v>0.2</v>
      </c>
      <c r="CF13">
        <v>0</v>
      </c>
      <c r="CG13" t="s">
        <v>53</v>
      </c>
      <c r="CH13">
        <v>0.41805309338028102</v>
      </c>
      <c r="CI13">
        <v>0.58891349882473998</v>
      </c>
      <c r="CJ13">
        <v>0.26606165372552898</v>
      </c>
      <c r="CK13" s="6">
        <v>417</v>
      </c>
      <c r="CL13" s="6">
        <v>892</v>
      </c>
      <c r="CM13" s="6">
        <v>1966.0000000000002</v>
      </c>
      <c r="CN13" s="4">
        <f t="shared" si="0"/>
        <v>1809.8240000000001</v>
      </c>
      <c r="CO13" s="4">
        <f t="shared" si="1"/>
        <v>0.41993957703927492</v>
      </c>
      <c r="CP13" s="4">
        <f t="shared" si="2"/>
        <v>0.89828801611278952</v>
      </c>
      <c r="CQ13" s="4">
        <f t="shared" si="3"/>
        <v>1.9798590130916418</v>
      </c>
      <c r="CR13" s="4">
        <v>0.2304091447566172</v>
      </c>
      <c r="CS13" s="4">
        <v>0.4928656046112771</v>
      </c>
      <c r="CT13" s="4">
        <v>1.0862934738405503</v>
      </c>
      <c r="CU13" s="6">
        <v>0.11497730711043873</v>
      </c>
      <c r="CV13">
        <v>5.2</v>
      </c>
      <c r="CW13">
        <v>2416.3280273157702</v>
      </c>
      <c r="CX13">
        <v>4.0999999999999996</v>
      </c>
      <c r="CY13">
        <v>831</v>
      </c>
      <c r="CZ13">
        <v>0.8368580060422961</v>
      </c>
    </row>
    <row r="14" spans="1:104" x14ac:dyDescent="0.2">
      <c r="A14">
        <v>13</v>
      </c>
      <c r="B14" t="s">
        <v>70</v>
      </c>
      <c r="C14" t="s">
        <v>71</v>
      </c>
      <c r="D14">
        <v>4928</v>
      </c>
      <c r="E14">
        <v>3.11</v>
      </c>
      <c r="F14">
        <v>2539034</v>
      </c>
      <c r="G14">
        <v>194.08956319608166</v>
      </c>
      <c r="H14">
        <v>2172</v>
      </c>
      <c r="I14">
        <v>2.9022301206590146</v>
      </c>
      <c r="J14">
        <v>85.544344817753526</v>
      </c>
      <c r="K14">
        <v>44.074675324675319</v>
      </c>
      <c r="L14" s="6">
        <v>3127.2006588924701</v>
      </c>
      <c r="M14" s="9">
        <v>1412</v>
      </c>
      <c r="N14" s="6">
        <v>55.611701143033137</v>
      </c>
      <c r="O14" s="6">
        <v>28.652597402597401</v>
      </c>
      <c r="P14" s="10">
        <v>648</v>
      </c>
      <c r="Q14" s="6">
        <v>25.521517238445803</v>
      </c>
      <c r="R14" s="6">
        <v>29.834254143646412</v>
      </c>
      <c r="S14" s="6">
        <v>45.892351274787536</v>
      </c>
      <c r="T14" s="10">
        <v>15</v>
      </c>
      <c r="U14" s="10">
        <v>4</v>
      </c>
      <c r="V14" s="6">
        <v>3049.28597869245</v>
      </c>
      <c r="W14" s="10">
        <v>1414</v>
      </c>
      <c r="X14" s="6">
        <v>55.690471257966614</v>
      </c>
      <c r="Y14" s="6">
        <v>28.693181818181817</v>
      </c>
      <c r="Z14" s="10">
        <v>761</v>
      </c>
      <c r="AA14" s="6">
        <v>29.972028732187123</v>
      </c>
      <c r="AB14" s="6">
        <v>35.036832412523026</v>
      </c>
      <c r="AC14" s="6">
        <v>53.81895332390382</v>
      </c>
      <c r="AD14" s="10">
        <v>8</v>
      </c>
      <c r="AE14" s="10">
        <v>8</v>
      </c>
      <c r="AF14" s="6">
        <v>3634.5538963976801</v>
      </c>
      <c r="AG14" s="7">
        <v>3502</v>
      </c>
      <c r="AH14" s="6">
        <v>1732</v>
      </c>
      <c r="AI14" s="6">
        <v>49.45745288406625</v>
      </c>
      <c r="AJ14" s="6">
        <v>30.163969093650401</v>
      </c>
      <c r="AK14" s="6">
        <v>19.7312404036335</v>
      </c>
      <c r="AL14" s="6">
        <v>24.553974255005652</v>
      </c>
      <c r="AM14" s="6">
        <v>14.166200271841555</v>
      </c>
      <c r="AN14" s="6">
        <v>68.804896574567962</v>
      </c>
      <c r="AO14" s="6">
        <v>6.64112917042638</v>
      </c>
      <c r="AP14">
        <v>1109.2</v>
      </c>
      <c r="AQ14">
        <v>3445.5</v>
      </c>
      <c r="AR14">
        <v>32.192715135684224</v>
      </c>
      <c r="AS14">
        <v>1137</v>
      </c>
      <c r="AT14">
        <v>32.999564649542883</v>
      </c>
      <c r="AU14">
        <v>73.691307502539544</v>
      </c>
      <c r="AV14">
        <v>37</v>
      </c>
      <c r="AW14">
        <v>1.58</v>
      </c>
      <c r="AX14">
        <v>2</v>
      </c>
      <c r="AY14">
        <v>953800.35829342611</v>
      </c>
      <c r="AZ14">
        <v>3</v>
      </c>
      <c r="BA14">
        <v>30.06</v>
      </c>
      <c r="BB14">
        <v>5</v>
      </c>
      <c r="BC14">
        <v>3.4482758620689653</v>
      </c>
      <c r="BD14">
        <v>26</v>
      </c>
      <c r="BE14" s="1">
        <v>2.4783434635167E-4</v>
      </c>
      <c r="BF14" s="3">
        <v>1.5757605599726301</v>
      </c>
      <c r="BG14" s="3">
        <v>1.3418444401701699</v>
      </c>
      <c r="BH14" s="1">
        <v>418746</v>
      </c>
      <c r="BI14" s="4">
        <v>16.502233881941802</v>
      </c>
      <c r="BJ14" s="4">
        <v>71.461080334233003</v>
      </c>
      <c r="BK14" s="3">
        <v>55.332305917033104</v>
      </c>
      <c r="BL14">
        <v>163746</v>
      </c>
      <c r="BM14">
        <v>5.014855052601372</v>
      </c>
      <c r="BN14">
        <v>2379657</v>
      </c>
      <c r="BO14">
        <v>72.878940126221252</v>
      </c>
      <c r="BP14">
        <v>378164</v>
      </c>
      <c r="BQ14">
        <v>19.2</v>
      </c>
      <c r="BR14">
        <v>6.64112917042638</v>
      </c>
      <c r="BS14">
        <v>10.261248185776488</v>
      </c>
      <c r="BT14">
        <v>1.0680000000000001</v>
      </c>
      <c r="BU14">
        <v>0.30709999999999998</v>
      </c>
      <c r="BV14">
        <v>0.26790000000000003</v>
      </c>
      <c r="BW14">
        <v>1.7508776722784891</v>
      </c>
      <c r="BX14">
        <v>0.8</v>
      </c>
      <c r="BY14">
        <v>76.2</v>
      </c>
      <c r="BZ14">
        <v>21.7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 t="s">
        <v>63</v>
      </c>
      <c r="CH14">
        <v>0.35555637676830198</v>
      </c>
      <c r="CI14">
        <v>0.63597505780674501</v>
      </c>
      <c r="CJ14">
        <v>0.44271666316505898</v>
      </c>
      <c r="CK14" s="6">
        <v>764</v>
      </c>
      <c r="CL14" s="4">
        <v>1463</v>
      </c>
      <c r="CM14" s="6">
        <v>4929</v>
      </c>
      <c r="CN14" s="4">
        <f t="shared" si="0"/>
        <v>5443.89</v>
      </c>
      <c r="CO14" s="4">
        <f t="shared" si="1"/>
        <v>0.21816105082809822</v>
      </c>
      <c r="CP14" s="4">
        <f t="shared" si="2"/>
        <v>0.41776127926898915</v>
      </c>
      <c r="CQ14" s="4">
        <f t="shared" si="3"/>
        <v>1.4074814391776127</v>
      </c>
      <c r="CR14" s="4">
        <v>0.14034082246334881</v>
      </c>
      <c r="CS14" s="4">
        <v>0.268741653486753</v>
      </c>
      <c r="CT14" s="4">
        <v>0.90541873549979879</v>
      </c>
      <c r="CU14" s="6">
        <v>5.6288478452066845E-2</v>
      </c>
      <c r="CV14">
        <v>5.4</v>
      </c>
      <c r="CW14">
        <v>2361.7252114091102</v>
      </c>
      <c r="CX14">
        <v>2.9</v>
      </c>
      <c r="CY14">
        <v>1896</v>
      </c>
      <c r="CZ14">
        <v>0.54140491147915482</v>
      </c>
    </row>
    <row r="15" spans="1:104" x14ac:dyDescent="0.2">
      <c r="A15">
        <v>14</v>
      </c>
      <c r="B15" t="s">
        <v>79</v>
      </c>
      <c r="C15" t="s">
        <v>80</v>
      </c>
      <c r="D15">
        <v>14229</v>
      </c>
      <c r="E15">
        <v>8.9700000000000006</v>
      </c>
      <c r="F15">
        <v>3078856</v>
      </c>
      <c r="G15">
        <v>462.15217600303487</v>
      </c>
      <c r="H15">
        <v>6703</v>
      </c>
      <c r="I15">
        <v>8.9565600823100251</v>
      </c>
      <c r="J15">
        <v>217.71073411682784</v>
      </c>
      <c r="K15">
        <v>47.10801883477405</v>
      </c>
      <c r="L15" s="6">
        <v>3393.7317702673599</v>
      </c>
      <c r="M15" s="9">
        <v>3216</v>
      </c>
      <c r="N15" s="6">
        <v>104.45438175738001</v>
      </c>
      <c r="O15" s="6">
        <v>22.601728863588448</v>
      </c>
      <c r="P15" s="10">
        <v>1606</v>
      </c>
      <c r="Q15" s="6">
        <v>52.162231686054824</v>
      </c>
      <c r="R15" s="6">
        <v>23.959421154706849</v>
      </c>
      <c r="S15" s="6">
        <v>49.937810945273633</v>
      </c>
      <c r="T15" s="10">
        <v>45</v>
      </c>
      <c r="U15" s="10">
        <v>89</v>
      </c>
      <c r="V15" s="6">
        <v>2897.5505825669802</v>
      </c>
      <c r="W15" s="10">
        <v>8205</v>
      </c>
      <c r="X15" s="6">
        <v>266.49508778585289</v>
      </c>
      <c r="Y15" s="6">
        <v>57.663925785367908</v>
      </c>
      <c r="Z15" s="10">
        <v>3974</v>
      </c>
      <c r="AA15" s="6">
        <v>129.07391576611573</v>
      </c>
      <c r="AB15" s="6">
        <v>59.286886468745337</v>
      </c>
      <c r="AC15" s="6">
        <v>48.433881779402803</v>
      </c>
      <c r="AD15" s="10">
        <v>33</v>
      </c>
      <c r="AE15" s="10">
        <v>101</v>
      </c>
      <c r="AF15" s="6">
        <v>3541.1842333232398</v>
      </c>
      <c r="AG15" s="7">
        <v>5111</v>
      </c>
      <c r="AH15" s="6">
        <v>2532</v>
      </c>
      <c r="AI15" s="6">
        <v>49.540207395812949</v>
      </c>
      <c r="AJ15" s="6">
        <v>31.505529475350201</v>
      </c>
      <c r="AK15" s="6">
        <v>19.6844358133547</v>
      </c>
      <c r="AL15" s="6">
        <v>22.094630422064519</v>
      </c>
      <c r="AM15" s="6">
        <v>12.870081767540691</v>
      </c>
      <c r="AN15" s="6">
        <v>70.442452595762333</v>
      </c>
      <c r="AO15" s="6">
        <v>7.4629169821731498</v>
      </c>
      <c r="AP15">
        <v>1955.5</v>
      </c>
      <c r="AQ15">
        <v>5054.7</v>
      </c>
      <c r="AR15">
        <v>38.686766771519579</v>
      </c>
      <c r="AS15">
        <v>1410.3</v>
      </c>
      <c r="AT15">
        <v>27.900765624072644</v>
      </c>
      <c r="AU15">
        <v>60.910756325795788</v>
      </c>
      <c r="AV15">
        <v>81</v>
      </c>
      <c r="AW15">
        <v>1.9</v>
      </c>
      <c r="AX15">
        <v>4.5</v>
      </c>
      <c r="AY15">
        <v>2056010.8870556117</v>
      </c>
      <c r="AZ15">
        <v>20</v>
      </c>
      <c r="BA15">
        <v>43</v>
      </c>
      <c r="BB15">
        <v>12</v>
      </c>
      <c r="BC15">
        <v>8.2758620689655178</v>
      </c>
      <c r="BD15">
        <v>7</v>
      </c>
      <c r="BE15" s="1">
        <v>9.6039560985650802E-4</v>
      </c>
      <c r="BF15" s="3">
        <v>6.1063107122179998</v>
      </c>
      <c r="BG15" s="3">
        <v>4.8097762686270196</v>
      </c>
      <c r="BH15" s="1">
        <v>153892</v>
      </c>
      <c r="BI15" s="4">
        <v>5.1566614192647302</v>
      </c>
      <c r="BJ15" s="4">
        <v>44.282994775383699</v>
      </c>
      <c r="BK15" s="3">
        <v>42.535828978558001</v>
      </c>
      <c r="BL15">
        <v>332702</v>
      </c>
      <c r="BM15">
        <v>6.8580335804574215</v>
      </c>
      <c r="BN15">
        <v>3883910</v>
      </c>
      <c r="BO15">
        <v>80.059588470987208</v>
      </c>
      <c r="BP15">
        <v>2235</v>
      </c>
      <c r="BQ15">
        <v>7.0000000000000007E-2</v>
      </c>
      <c r="BR15">
        <v>7.4629169821731498</v>
      </c>
      <c r="BS15">
        <v>14.483283877349159</v>
      </c>
      <c r="BT15">
        <v>1.0089999999999999</v>
      </c>
      <c r="BU15">
        <v>0.3271</v>
      </c>
      <c r="BV15">
        <v>0.33410000000000001</v>
      </c>
      <c r="BW15">
        <v>4.0087372769737488</v>
      </c>
      <c r="BX15">
        <v>80</v>
      </c>
      <c r="BY15">
        <v>10</v>
      </c>
      <c r="BZ15">
        <v>0.1</v>
      </c>
      <c r="CA15">
        <v>7.7</v>
      </c>
      <c r="CB15">
        <v>0.2</v>
      </c>
      <c r="CC15">
        <v>0.1</v>
      </c>
      <c r="CD15">
        <v>1.5</v>
      </c>
      <c r="CE15">
        <v>0.5</v>
      </c>
      <c r="CF15">
        <v>0</v>
      </c>
      <c r="CG15" t="s">
        <v>50</v>
      </c>
      <c r="CH15">
        <v>0.34512540406646303</v>
      </c>
      <c r="CI15">
        <v>0.191143867171674</v>
      </c>
      <c r="CJ15">
        <v>0.91427842781524604</v>
      </c>
      <c r="CK15" s="6">
        <v>1537</v>
      </c>
      <c r="CL15" s="6">
        <v>2882</v>
      </c>
      <c r="CM15" s="6">
        <v>9503</v>
      </c>
      <c r="CN15" s="4">
        <f t="shared" si="0"/>
        <v>9603.9299999999985</v>
      </c>
      <c r="CO15" s="4">
        <f t="shared" si="1"/>
        <v>0.30072392878106047</v>
      </c>
      <c r="CP15" s="4">
        <f t="shared" si="2"/>
        <v>0.56388182351790261</v>
      </c>
      <c r="CQ15" s="4">
        <f t="shared" si="3"/>
        <v>1.8593230287614948</v>
      </c>
      <c r="CR15" s="4">
        <v>0.16003865084397745</v>
      </c>
      <c r="CS15" s="4">
        <v>0.30008548583756861</v>
      </c>
      <c r="CT15" s="4">
        <v>0.98949076055323204</v>
      </c>
      <c r="CU15" s="6">
        <v>0.11983265971779054</v>
      </c>
      <c r="CV15">
        <v>7</v>
      </c>
      <c r="CW15">
        <v>1771.59796068586</v>
      </c>
      <c r="CX15">
        <v>5</v>
      </c>
      <c r="CY15">
        <v>4855</v>
      </c>
      <c r="CZ15">
        <v>0.94991195460770883</v>
      </c>
    </row>
    <row r="16" spans="1:104" x14ac:dyDescent="0.2">
      <c r="A16">
        <v>15</v>
      </c>
      <c r="B16" t="s">
        <v>87</v>
      </c>
      <c r="C16" t="s">
        <v>88</v>
      </c>
      <c r="D16">
        <v>9212</v>
      </c>
      <c r="E16">
        <v>5.81</v>
      </c>
      <c r="F16">
        <v>1908054</v>
      </c>
      <c r="G16">
        <v>482.79556029336692</v>
      </c>
      <c r="H16">
        <v>5126</v>
      </c>
      <c r="I16">
        <v>6.8493699808923152</v>
      </c>
      <c r="J16">
        <v>268.6506776013677</v>
      </c>
      <c r="K16">
        <v>55.644811115935731</v>
      </c>
      <c r="L16" s="6">
        <v>3521.1135984654502</v>
      </c>
      <c r="M16" s="9">
        <v>950</v>
      </c>
      <c r="N16" s="6">
        <v>49.788947272980742</v>
      </c>
      <c r="O16" s="6">
        <v>10.312635692574903</v>
      </c>
      <c r="P16" s="10">
        <v>635</v>
      </c>
      <c r="Q16" s="6">
        <v>33.279980545623971</v>
      </c>
      <c r="R16" s="6">
        <v>12.387826765509169</v>
      </c>
      <c r="S16" s="6">
        <v>66.84210526315789</v>
      </c>
      <c r="T16" s="10">
        <v>34</v>
      </c>
      <c r="U16" s="10">
        <v>71</v>
      </c>
      <c r="V16" s="6">
        <v>3507.8932958683999</v>
      </c>
      <c r="W16" s="10">
        <v>6429</v>
      </c>
      <c r="X16" s="6">
        <v>336.94014949262441</v>
      </c>
      <c r="Y16" s="6">
        <v>69.789405123751621</v>
      </c>
      <c r="Z16" s="10">
        <v>3916</v>
      </c>
      <c r="AA16" s="6">
        <v>205.23528160104485</v>
      </c>
      <c r="AB16" s="6">
        <v>76.394849785407729</v>
      </c>
      <c r="AC16" s="6">
        <v>60.911494789236272</v>
      </c>
      <c r="AD16" s="10">
        <v>68</v>
      </c>
      <c r="AE16" s="10">
        <v>238</v>
      </c>
      <c r="AF16" s="6">
        <v>3552.6774088981701</v>
      </c>
      <c r="AG16" s="7">
        <v>5402</v>
      </c>
      <c r="AH16" s="6">
        <v>2673</v>
      </c>
      <c r="AI16" s="6">
        <v>49.481673454276191</v>
      </c>
      <c r="AJ16" s="6">
        <v>32.780210707206798</v>
      </c>
      <c r="AK16" s="6">
        <v>20.016318959094399</v>
      </c>
      <c r="AL16" s="6">
        <v>20.570511315972823</v>
      </c>
      <c r="AM16" s="6">
        <v>12.479111336852229</v>
      </c>
      <c r="AN16" s="6">
        <v>71.026452433080394</v>
      </c>
      <c r="AO16" s="6">
        <v>8.4030362509467924</v>
      </c>
      <c r="AP16">
        <v>2178.6999999999998</v>
      </c>
      <c r="AQ16">
        <v>5343.8</v>
      </c>
      <c r="AR16">
        <v>40.770612672629959</v>
      </c>
      <c r="AS16">
        <v>582.5</v>
      </c>
      <c r="AT16">
        <v>10.900482802500093</v>
      </c>
      <c r="AU16">
        <v>35.705939593547662</v>
      </c>
      <c r="AV16">
        <v>68</v>
      </c>
      <c r="AW16">
        <v>1.68</v>
      </c>
      <c r="AX16">
        <v>3.1</v>
      </c>
      <c r="AY16">
        <v>1857399.6767094578</v>
      </c>
      <c r="AZ16">
        <v>28</v>
      </c>
      <c r="BA16">
        <v>54.61</v>
      </c>
      <c r="BB16">
        <v>11</v>
      </c>
      <c r="BC16">
        <v>7.5862068965517242</v>
      </c>
      <c r="BD16">
        <v>4</v>
      </c>
      <c r="BE16" s="1">
        <v>1.7668828115348001E-3</v>
      </c>
      <c r="BF16" s="3">
        <v>11.2340532678203</v>
      </c>
      <c r="BG16" s="3">
        <v>6.5046607658518196</v>
      </c>
      <c r="BH16" s="1">
        <v>4909</v>
      </c>
      <c r="BI16" s="4">
        <v>0.26356098867852801</v>
      </c>
      <c r="BJ16" s="4">
        <v>25.6676872080306</v>
      </c>
      <c r="BK16" s="3">
        <v>35.013123985756799</v>
      </c>
      <c r="BL16">
        <v>368421</v>
      </c>
      <c r="BM16">
        <v>7.1945282521456404</v>
      </c>
      <c r="BN16">
        <v>4175845</v>
      </c>
      <c r="BO16">
        <v>81.545934756925121</v>
      </c>
      <c r="BP16">
        <v>3060</v>
      </c>
      <c r="BQ16">
        <v>0.09</v>
      </c>
      <c r="BR16">
        <v>8.4030362509467924</v>
      </c>
      <c r="BS16">
        <v>46.909431137724553</v>
      </c>
      <c r="BT16">
        <v>0.99399999999999999</v>
      </c>
      <c r="BU16">
        <v>0.29149999999999998</v>
      </c>
      <c r="BV16">
        <v>0.30719999999999997</v>
      </c>
      <c r="BW16">
        <v>5.6020090014246104</v>
      </c>
      <c r="BX16">
        <v>83.4</v>
      </c>
      <c r="BY16">
        <v>7</v>
      </c>
      <c r="BZ16">
        <v>0</v>
      </c>
      <c r="CA16">
        <v>6.2</v>
      </c>
      <c r="CB16">
        <v>0</v>
      </c>
      <c r="CC16">
        <v>1.2</v>
      </c>
      <c r="CD16">
        <v>3.2</v>
      </c>
      <c r="CE16">
        <v>1.5</v>
      </c>
      <c r="CF16">
        <v>0</v>
      </c>
      <c r="CG16" t="s">
        <v>50</v>
      </c>
      <c r="CH16">
        <v>0.32831124330755501</v>
      </c>
      <c r="CI16">
        <v>0.18379707280152699</v>
      </c>
      <c r="CJ16">
        <v>0.90527482405154802</v>
      </c>
      <c r="CK16" s="6">
        <v>1845</v>
      </c>
      <c r="CL16" s="6">
        <v>3230</v>
      </c>
      <c r="CM16" s="6">
        <v>8288</v>
      </c>
      <c r="CN16" s="4">
        <f t="shared" si="0"/>
        <v>8977.5840000000007</v>
      </c>
      <c r="CO16" s="4">
        <f t="shared" si="1"/>
        <v>0.34154017030729361</v>
      </c>
      <c r="CP16" s="4">
        <f t="shared" si="2"/>
        <v>0.59792669381710473</v>
      </c>
      <c r="CQ16" s="4">
        <f t="shared" si="3"/>
        <v>1.5342465753424657</v>
      </c>
      <c r="CR16" s="4">
        <v>0.20551186154315013</v>
      </c>
      <c r="CS16" s="4">
        <v>0.359784993379065</v>
      </c>
      <c r="CT16" s="4">
        <v>0.92318824307296921</v>
      </c>
      <c r="CU16" s="6">
        <v>0.15965665236051502</v>
      </c>
      <c r="CV16">
        <v>5.9</v>
      </c>
      <c r="CW16">
        <v>1960.27938328908</v>
      </c>
      <c r="CX16">
        <v>4.8</v>
      </c>
      <c r="CY16">
        <v>5037</v>
      </c>
      <c r="CZ16">
        <v>0.93243243243243246</v>
      </c>
    </row>
    <row r="17" spans="1:104" x14ac:dyDescent="0.2">
      <c r="A17">
        <v>16</v>
      </c>
      <c r="B17" t="s">
        <v>97</v>
      </c>
      <c r="C17" t="s">
        <v>98</v>
      </c>
      <c r="D17">
        <v>946</v>
      </c>
      <c r="E17">
        <v>0.6</v>
      </c>
      <c r="F17">
        <v>252776</v>
      </c>
      <c r="G17">
        <v>374.24439029021744</v>
      </c>
      <c r="H17">
        <v>343</v>
      </c>
      <c r="I17">
        <v>0.45831718756263445</v>
      </c>
      <c r="J17">
        <v>135.69326201854605</v>
      </c>
      <c r="K17">
        <v>36.257928118393238</v>
      </c>
      <c r="L17" s="6">
        <v>2315.7650127360498</v>
      </c>
      <c r="M17" s="9">
        <v>197</v>
      </c>
      <c r="N17" s="6">
        <v>77.934614045637247</v>
      </c>
      <c r="O17" s="6">
        <v>20.824524312896404</v>
      </c>
      <c r="P17" s="10">
        <v>80</v>
      </c>
      <c r="Q17" s="6">
        <v>31.648574231730862</v>
      </c>
      <c r="R17" s="6">
        <v>23.323615160349853</v>
      </c>
      <c r="S17" s="6">
        <v>40.609137055837564</v>
      </c>
      <c r="T17" s="10">
        <v>2</v>
      </c>
      <c r="U17" s="10">
        <v>5</v>
      </c>
      <c r="V17" s="6">
        <v>1966.2055042368399</v>
      </c>
      <c r="W17" s="10">
        <v>480</v>
      </c>
      <c r="X17" s="6">
        <v>189.89144539038517</v>
      </c>
      <c r="Y17" s="6">
        <v>50.739957716701902</v>
      </c>
      <c r="Z17" s="10">
        <v>152</v>
      </c>
      <c r="AA17" s="6">
        <v>60.132291040288635</v>
      </c>
      <c r="AB17" s="6">
        <v>44.314868804664727</v>
      </c>
      <c r="AC17" s="6">
        <v>31.666666666666664</v>
      </c>
      <c r="AD17" s="10">
        <v>1</v>
      </c>
      <c r="AE17" s="10">
        <v>6</v>
      </c>
      <c r="AF17" s="6">
        <v>1757.7575523774799</v>
      </c>
      <c r="AG17" s="7">
        <v>777</v>
      </c>
      <c r="AH17" s="6">
        <v>383</v>
      </c>
      <c r="AI17" s="6">
        <v>49.29214929214929</v>
      </c>
      <c r="AJ17" s="6">
        <v>31.856019704994601</v>
      </c>
      <c r="AK17" s="6">
        <v>19.7300825469794</v>
      </c>
      <c r="AL17" s="6">
        <v>19.656768395913666</v>
      </c>
      <c r="AM17" s="6">
        <v>13.187509253477698</v>
      </c>
      <c r="AN17" s="6">
        <v>72.76677373879123</v>
      </c>
      <c r="AO17" s="6">
        <v>7.5764578652951133</v>
      </c>
      <c r="AP17">
        <v>221.2</v>
      </c>
      <c r="AQ17">
        <v>757.2</v>
      </c>
      <c r="AR17">
        <v>29.212889593238245</v>
      </c>
      <c r="AS17">
        <v>139.30000000000001</v>
      </c>
      <c r="AT17">
        <v>18.396724775488643</v>
      </c>
      <c r="AU17">
        <v>33.382989963021657</v>
      </c>
      <c r="AV17">
        <v>12</v>
      </c>
      <c r="AW17">
        <v>2.1800000000000002</v>
      </c>
      <c r="AX17">
        <v>2.6</v>
      </c>
      <c r="AY17">
        <v>1075265.2414157421</v>
      </c>
      <c r="AZ17">
        <v>23</v>
      </c>
      <c r="BA17">
        <v>59.9</v>
      </c>
      <c r="BB17">
        <v>2</v>
      </c>
      <c r="BC17">
        <v>1.3793103448275863</v>
      </c>
      <c r="BD17">
        <v>1</v>
      </c>
      <c r="BE17" s="1">
        <v>2.60659360857989E-3</v>
      </c>
      <c r="BF17" s="3">
        <v>16.573035435728901</v>
      </c>
      <c r="BG17" s="3">
        <v>2.8214465744632098</v>
      </c>
      <c r="BH17" s="3">
        <v>0</v>
      </c>
      <c r="BI17" s="4">
        <v>0</v>
      </c>
      <c r="BJ17" s="4">
        <v>24.362619958022101</v>
      </c>
      <c r="BK17" s="3">
        <v>25.953986765614701</v>
      </c>
      <c r="BL17">
        <v>57223</v>
      </c>
      <c r="BM17">
        <v>8.1472464263340729</v>
      </c>
      <c r="BN17">
        <v>583425</v>
      </c>
      <c r="BO17">
        <v>83.066376217324446</v>
      </c>
      <c r="BP17">
        <v>373</v>
      </c>
      <c r="BQ17">
        <v>0.09</v>
      </c>
      <c r="BR17">
        <v>7.5764578652951133</v>
      </c>
      <c r="BS17">
        <v>68.719947159841482</v>
      </c>
      <c r="BT17">
        <v>1.008</v>
      </c>
      <c r="BU17">
        <v>0.27810000000000001</v>
      </c>
      <c r="BV17">
        <v>0.30520000000000003</v>
      </c>
      <c r="BW17">
        <v>1.0719298141115485</v>
      </c>
      <c r="BX17">
        <v>91.5</v>
      </c>
      <c r="BY17">
        <v>1.5</v>
      </c>
      <c r="BZ17">
        <v>0.8</v>
      </c>
      <c r="CA17">
        <v>0.1</v>
      </c>
      <c r="CB17">
        <v>0</v>
      </c>
      <c r="CC17">
        <v>0</v>
      </c>
      <c r="CD17">
        <v>14.6</v>
      </c>
      <c r="CE17">
        <v>1.1000000000000001</v>
      </c>
      <c r="CF17">
        <v>0</v>
      </c>
      <c r="CG17" t="s">
        <v>50</v>
      </c>
      <c r="CH17">
        <v>0.28493126964675802</v>
      </c>
      <c r="CI17">
        <v>0.164114109733691</v>
      </c>
      <c r="CJ17">
        <v>0.89686187098282399</v>
      </c>
      <c r="CK17" s="6">
        <v>315</v>
      </c>
      <c r="CL17" s="6">
        <v>529</v>
      </c>
      <c r="CM17" s="6">
        <v>1655</v>
      </c>
      <c r="CN17" s="4">
        <f t="shared" si="0"/>
        <v>1650.6960000000001</v>
      </c>
      <c r="CO17" s="4">
        <f t="shared" si="1"/>
        <v>0.40540540540540543</v>
      </c>
      <c r="CP17" s="4">
        <f t="shared" si="2"/>
        <v>0.68082368082368083</v>
      </c>
      <c r="CQ17" s="4">
        <f t="shared" si="3"/>
        <v>2.1299871299871298</v>
      </c>
      <c r="CR17" s="4">
        <v>0.19082859593771354</v>
      </c>
      <c r="CS17" s="4">
        <v>0.32047088016206493</v>
      </c>
      <c r="CT17" s="4">
        <v>1.0026073850060822</v>
      </c>
      <c r="CU17" s="6">
        <v>0.27997128499641061</v>
      </c>
      <c r="CV17">
        <v>9.5</v>
      </c>
      <c r="CW17">
        <v>1917.69834759685</v>
      </c>
      <c r="CX17">
        <v>6.1</v>
      </c>
      <c r="CY17">
        <v>642</v>
      </c>
      <c r="CZ17">
        <v>0.82625482625482627</v>
      </c>
    </row>
    <row r="18" spans="1:104" x14ac:dyDescent="0.2">
      <c r="A18">
        <v>17</v>
      </c>
      <c r="B18" t="s">
        <v>68</v>
      </c>
      <c r="C18" t="s">
        <v>69</v>
      </c>
      <c r="D18">
        <v>1639</v>
      </c>
      <c r="E18">
        <v>1.03</v>
      </c>
      <c r="F18">
        <v>1162850</v>
      </c>
      <c r="G18">
        <v>140.94681171260265</v>
      </c>
      <c r="H18">
        <v>792</v>
      </c>
      <c r="I18">
        <v>1.058271756704392</v>
      </c>
      <c r="J18">
        <v>68.108526465150277</v>
      </c>
      <c r="K18">
        <v>48.322147651006716</v>
      </c>
      <c r="L18" s="6">
        <v>2377.27758924318</v>
      </c>
      <c r="M18" s="9">
        <v>445</v>
      </c>
      <c r="N18" s="6">
        <v>38.268048329535191</v>
      </c>
      <c r="O18" s="6">
        <v>27.150701647345944</v>
      </c>
      <c r="P18" s="10">
        <v>225</v>
      </c>
      <c r="Q18" s="6">
        <v>19.349013200326784</v>
      </c>
      <c r="R18" s="6">
        <v>28.40909090909091</v>
      </c>
      <c r="S18" s="6">
        <v>50.561797752808992</v>
      </c>
      <c r="T18" s="10">
        <v>7</v>
      </c>
      <c r="U18" s="10">
        <v>9</v>
      </c>
      <c r="V18" s="6">
        <v>2395.8203862792998</v>
      </c>
      <c r="W18" s="10">
        <v>964</v>
      </c>
      <c r="X18" s="6">
        <v>82.899772111622312</v>
      </c>
      <c r="Y18" s="6">
        <v>58.816351433801096</v>
      </c>
      <c r="Z18" s="10">
        <v>520</v>
      </c>
      <c r="AA18" s="6">
        <v>80.581800600334418</v>
      </c>
      <c r="AB18" s="6">
        <v>65.656565656565661</v>
      </c>
      <c r="AC18" s="6">
        <v>53.941908713692946</v>
      </c>
      <c r="AD18" s="10">
        <v>10</v>
      </c>
      <c r="AE18" s="10">
        <v>28</v>
      </c>
      <c r="AF18" s="6">
        <v>2464.24393493148</v>
      </c>
      <c r="AG18" s="7">
        <v>1989</v>
      </c>
      <c r="AH18" s="6">
        <v>975</v>
      </c>
      <c r="AI18" s="6">
        <v>49.019607843137251</v>
      </c>
      <c r="AJ18" s="6">
        <v>27.132207845576598</v>
      </c>
      <c r="AK18" s="6">
        <v>18.7254311984744</v>
      </c>
      <c r="AL18" s="6">
        <v>28.485789002198835</v>
      </c>
      <c r="AM18" s="6">
        <v>14.992655464364674</v>
      </c>
      <c r="AN18" s="6">
        <v>67.01494142971616</v>
      </c>
      <c r="AO18" s="6">
        <v>4.4992695680850012</v>
      </c>
      <c r="AP18">
        <v>750.5</v>
      </c>
      <c r="AQ18">
        <v>1933.8</v>
      </c>
      <c r="AR18">
        <v>38.809597683317818</v>
      </c>
      <c r="AS18">
        <v>818</v>
      </c>
      <c r="AT18">
        <v>42.300134450305102</v>
      </c>
      <c r="AU18">
        <v>60.132898955424551</v>
      </c>
      <c r="AV18">
        <v>23</v>
      </c>
      <c r="AW18">
        <v>1.33</v>
      </c>
      <c r="AX18">
        <v>1.5</v>
      </c>
      <c r="AY18">
        <v>1446702.0530561591</v>
      </c>
      <c r="AZ18">
        <v>6</v>
      </c>
      <c r="BA18">
        <v>26.74</v>
      </c>
      <c r="BB18">
        <v>2</v>
      </c>
      <c r="BC18">
        <v>1.3793103448275863</v>
      </c>
      <c r="BD18">
        <v>29</v>
      </c>
      <c r="BE18" s="1">
        <v>1.4998145027093299E-4</v>
      </c>
      <c r="BF18" s="3">
        <v>0.95360008628134496</v>
      </c>
      <c r="BG18" s="3">
        <v>0.75195088801004994</v>
      </c>
      <c r="BH18" s="1">
        <v>206847</v>
      </c>
      <c r="BI18" s="4">
        <v>18.0477756022993</v>
      </c>
      <c r="BJ18" s="4">
        <v>90.148170050291895</v>
      </c>
      <c r="BK18" s="3">
        <v>81.365744306880899</v>
      </c>
      <c r="BL18">
        <v>95380</v>
      </c>
      <c r="BM18">
        <v>5.3692408586957434</v>
      </c>
      <c r="BN18">
        <v>1345952</v>
      </c>
      <c r="BO18">
        <v>75.767880816138117</v>
      </c>
      <c r="BP18">
        <v>1510</v>
      </c>
      <c r="BQ18">
        <v>0.2</v>
      </c>
      <c r="BR18">
        <v>4.4992695680850012</v>
      </c>
      <c r="BS18">
        <v>16.128231644260598</v>
      </c>
      <c r="BT18">
        <v>1.0469999999999999</v>
      </c>
      <c r="BU18">
        <v>0.3155</v>
      </c>
      <c r="BV18">
        <v>0.35320000000000001</v>
      </c>
      <c r="BW18">
        <v>2.5449740420353661</v>
      </c>
      <c r="BX18">
        <v>84.5</v>
      </c>
      <c r="BY18">
        <v>0.3</v>
      </c>
      <c r="BZ18">
        <v>0.7</v>
      </c>
      <c r="CA18">
        <v>0.7</v>
      </c>
      <c r="CB18">
        <v>5.9</v>
      </c>
      <c r="CC18">
        <v>4.3</v>
      </c>
      <c r="CD18">
        <v>2.5</v>
      </c>
      <c r="CE18">
        <v>1</v>
      </c>
      <c r="CF18">
        <v>0</v>
      </c>
      <c r="CG18" t="s">
        <v>50</v>
      </c>
      <c r="CH18">
        <v>0.27837046255464698</v>
      </c>
      <c r="CI18">
        <v>0.18564029245283301</v>
      </c>
      <c r="CJ18">
        <v>0.86845213540418198</v>
      </c>
      <c r="CK18" s="6">
        <v>463</v>
      </c>
      <c r="CL18" s="6">
        <v>900</v>
      </c>
      <c r="CM18" s="6">
        <v>1810</v>
      </c>
      <c r="CN18" s="4">
        <f t="shared" si="0"/>
        <v>2571.9540000000002</v>
      </c>
      <c r="CO18" s="4">
        <f t="shared" si="1"/>
        <v>0.23278029160382102</v>
      </c>
      <c r="CP18" s="4">
        <f t="shared" si="2"/>
        <v>0.45248868778280543</v>
      </c>
      <c r="CQ18" s="4">
        <f t="shared" si="3"/>
        <v>0.91000502765208646</v>
      </c>
      <c r="CR18" s="4">
        <v>0.18001877171986744</v>
      </c>
      <c r="CS18" s="4">
        <v>0.34992849794358682</v>
      </c>
      <c r="CT18" s="4">
        <v>0.70374509030876908</v>
      </c>
      <c r="CU18" s="6">
        <v>9.0464547677261614E-2</v>
      </c>
      <c r="CV18">
        <v>5.5</v>
      </c>
      <c r="CW18">
        <v>1846.9638683482899</v>
      </c>
      <c r="CX18">
        <v>2.1</v>
      </c>
      <c r="CY18">
        <v>1113</v>
      </c>
      <c r="CZ18">
        <v>0.55957767722473606</v>
      </c>
    </row>
    <row r="19" spans="1:104" x14ac:dyDescent="0.2">
      <c r="A19">
        <v>18</v>
      </c>
      <c r="B19" t="s">
        <v>75</v>
      </c>
      <c r="C19" t="s">
        <v>76</v>
      </c>
      <c r="D19">
        <v>9202</v>
      </c>
      <c r="E19">
        <v>5.8</v>
      </c>
      <c r="F19">
        <v>1708547</v>
      </c>
      <c r="G19">
        <v>538.5862958408519</v>
      </c>
      <c r="H19">
        <v>3602</v>
      </c>
      <c r="I19">
        <v>4.8129985702641678</v>
      </c>
      <c r="J19">
        <v>210.82241226024217</v>
      </c>
      <c r="K19">
        <v>39.143664420778087</v>
      </c>
      <c r="L19" s="6">
        <v>2881.4999528590602</v>
      </c>
      <c r="M19" s="9">
        <v>3322</v>
      </c>
      <c r="N19" s="6">
        <v>194.4342180812117</v>
      </c>
      <c r="O19" s="6">
        <v>36.100847641816998</v>
      </c>
      <c r="P19" s="10">
        <v>1178</v>
      </c>
      <c r="Q19" s="6">
        <v>68.947474081778253</v>
      </c>
      <c r="R19" s="6">
        <v>32.704053303720151</v>
      </c>
      <c r="S19" s="6">
        <v>35.460565924142088</v>
      </c>
      <c r="T19" s="10">
        <v>26</v>
      </c>
      <c r="U19" s="10">
        <v>69</v>
      </c>
      <c r="V19" s="6">
        <v>2907.28276063966</v>
      </c>
      <c r="W19" s="10">
        <v>4411</v>
      </c>
      <c r="X19" s="6">
        <v>258.17258758465528</v>
      </c>
      <c r="Y19" s="6">
        <v>47.935231471419257</v>
      </c>
      <c r="Z19" s="10">
        <v>2066</v>
      </c>
      <c r="AA19" s="6">
        <v>160.10415294363807</v>
      </c>
      <c r="AB19" s="6">
        <v>57.357023875624655</v>
      </c>
      <c r="AC19" s="6">
        <v>46.837451824982992</v>
      </c>
      <c r="AD19" s="10">
        <v>22</v>
      </c>
      <c r="AE19" s="10">
        <v>106</v>
      </c>
      <c r="AF19" s="6">
        <v>3120.6115981635699</v>
      </c>
      <c r="AG19" s="7">
        <v>3401</v>
      </c>
      <c r="AH19" s="6">
        <v>1696</v>
      </c>
      <c r="AI19" s="6">
        <v>49.867685974713325</v>
      </c>
      <c r="AJ19" s="6">
        <v>33.9908310497499</v>
      </c>
      <c r="AK19" s="6">
        <v>19.938483529338701</v>
      </c>
      <c r="AL19" s="6">
        <v>17.356845988736012</v>
      </c>
      <c r="AM19" s="6">
        <v>12.3922704933383</v>
      </c>
      <c r="AN19" s="6">
        <v>73.29275466792339</v>
      </c>
      <c r="AO19" s="6">
        <v>9.3503993433406087</v>
      </c>
      <c r="AP19">
        <v>524.20000000000005</v>
      </c>
      <c r="AQ19">
        <v>3375.9</v>
      </c>
      <c r="AR19">
        <v>15.52771112888415</v>
      </c>
      <c r="AS19">
        <v>1340.2</v>
      </c>
      <c r="AT19">
        <v>39.699043218104805</v>
      </c>
      <c r="AU19">
        <v>50.610118783139313</v>
      </c>
      <c r="AV19">
        <v>48</v>
      </c>
      <c r="AW19">
        <v>1.75</v>
      </c>
      <c r="AX19">
        <v>2.6</v>
      </c>
      <c r="AY19">
        <v>1933773.2586569507</v>
      </c>
      <c r="AZ19">
        <v>28</v>
      </c>
      <c r="BA19">
        <v>56.2</v>
      </c>
      <c r="BB19">
        <v>8</v>
      </c>
      <c r="BC19">
        <v>5.5172413793103452</v>
      </c>
      <c r="BD19">
        <v>8</v>
      </c>
      <c r="BE19" s="1">
        <v>9.30828676052074E-4</v>
      </c>
      <c r="BF19" s="3">
        <v>5.9183205935996597</v>
      </c>
      <c r="BG19" s="3">
        <v>3.97279497221884</v>
      </c>
      <c r="BH19" s="1">
        <v>136150</v>
      </c>
      <c r="BI19" s="4">
        <v>8.1517818064683798</v>
      </c>
      <c r="BJ19" s="4">
        <v>37.473230021548503</v>
      </c>
      <c r="BK19" s="3">
        <v>46.101257905809</v>
      </c>
      <c r="BL19">
        <v>249255</v>
      </c>
      <c r="BM19">
        <v>7.5909479342985797</v>
      </c>
      <c r="BN19">
        <v>2681318</v>
      </c>
      <c r="BO19">
        <v>81.65832313613609</v>
      </c>
      <c r="BP19">
        <v>33358</v>
      </c>
      <c r="BQ19">
        <v>0.98</v>
      </c>
      <c r="BR19">
        <v>9.3503993433406087</v>
      </c>
      <c r="BS19">
        <v>20.006220379146921</v>
      </c>
      <c r="BT19">
        <v>0.97899999999999998</v>
      </c>
      <c r="BU19">
        <v>0.28100000000000003</v>
      </c>
      <c r="BV19">
        <v>0.2928</v>
      </c>
      <c r="BW19">
        <v>3.0923815090449907</v>
      </c>
      <c r="BX19">
        <v>7.6</v>
      </c>
      <c r="BY19">
        <v>2.4</v>
      </c>
      <c r="BZ19">
        <v>0.1</v>
      </c>
      <c r="CA19">
        <v>0</v>
      </c>
      <c r="CB19">
        <v>0</v>
      </c>
      <c r="CC19">
        <v>0</v>
      </c>
      <c r="CD19">
        <v>89.2</v>
      </c>
      <c r="CE19">
        <v>6</v>
      </c>
      <c r="CF19">
        <v>0</v>
      </c>
      <c r="CG19" t="s">
        <v>120</v>
      </c>
      <c r="CH19">
        <v>0.27343933896640499</v>
      </c>
      <c r="CI19">
        <v>0.61737161171883304</v>
      </c>
      <c r="CJ19">
        <v>0.32279307651384098</v>
      </c>
      <c r="CK19" s="6">
        <v>1399</v>
      </c>
      <c r="CL19" s="6">
        <v>2523</v>
      </c>
      <c r="CM19" s="6">
        <v>7892</v>
      </c>
      <c r="CN19" s="4">
        <f t="shared" si="0"/>
        <v>5907.8249999999998</v>
      </c>
      <c r="CO19" s="4">
        <f t="shared" si="1"/>
        <v>0.41134960305792412</v>
      </c>
      <c r="CP19" s="4">
        <f t="shared" si="2"/>
        <v>0.74184063510732134</v>
      </c>
      <c r="CQ19" s="4">
        <f t="shared" si="3"/>
        <v>2.3204939723610702</v>
      </c>
      <c r="CR19" s="4">
        <v>0.23680457698053006</v>
      </c>
      <c r="CS19" s="4">
        <v>0.42706072031585229</v>
      </c>
      <c r="CT19" s="4">
        <v>1.3358554121017465</v>
      </c>
      <c r="CU19" s="6">
        <v>5.6707954036710938E-2</v>
      </c>
      <c r="CV19">
        <v>10.8</v>
      </c>
      <c r="CW19">
        <v>2087.0551672182</v>
      </c>
      <c r="CX19">
        <v>4.9000000000000004</v>
      </c>
      <c r="CY19">
        <v>3259</v>
      </c>
      <c r="CZ19">
        <v>0.95824757424286977</v>
      </c>
    </row>
    <row r="20" spans="1:104" x14ac:dyDescent="0.2">
      <c r="A20">
        <v>19</v>
      </c>
      <c r="B20" t="s">
        <v>64</v>
      </c>
      <c r="C20" t="s">
        <v>65</v>
      </c>
      <c r="D20">
        <v>19096</v>
      </c>
      <c r="E20">
        <v>12.04</v>
      </c>
      <c r="F20">
        <v>4461922</v>
      </c>
      <c r="G20">
        <v>427.9770018391178</v>
      </c>
      <c r="H20">
        <v>9768</v>
      </c>
      <c r="I20">
        <v>13.052018332687505</v>
      </c>
      <c r="J20">
        <v>218.91911153982522</v>
      </c>
      <c r="K20">
        <v>51.152073732718897</v>
      </c>
      <c r="L20" s="6">
        <v>3273.1718139663199</v>
      </c>
      <c r="M20" s="9">
        <v>1801</v>
      </c>
      <c r="N20" s="6">
        <v>40.363771486816667</v>
      </c>
      <c r="O20" s="6">
        <v>9.4312945119396741</v>
      </c>
      <c r="P20" s="10">
        <v>849</v>
      </c>
      <c r="Q20" s="6">
        <v>19.027674620936896</v>
      </c>
      <c r="R20" s="6">
        <v>8.6916461916461927</v>
      </c>
      <c r="S20" s="6">
        <v>47.140477512493064</v>
      </c>
      <c r="T20" s="10">
        <v>57</v>
      </c>
      <c r="U20" s="10">
        <v>63</v>
      </c>
      <c r="V20" s="6">
        <v>2659.5182136240301</v>
      </c>
      <c r="W20" s="10">
        <v>13444</v>
      </c>
      <c r="X20" s="6">
        <v>301.30513263118451</v>
      </c>
      <c r="Y20" s="6">
        <v>70.402178466694593</v>
      </c>
      <c r="Z20" s="10">
        <v>7624</v>
      </c>
      <c r="AA20" s="6">
        <v>170.86806985868421</v>
      </c>
      <c r="AB20" s="6">
        <v>78.05077805077805</v>
      </c>
      <c r="AC20" s="6">
        <v>56.709312704552218</v>
      </c>
      <c r="AD20" s="10">
        <v>112</v>
      </c>
      <c r="AE20" s="10">
        <v>310</v>
      </c>
      <c r="AF20" s="6">
        <v>3523.4383006048402</v>
      </c>
      <c r="AG20" s="7">
        <v>7036</v>
      </c>
      <c r="AH20" s="6">
        <v>3502</v>
      </c>
      <c r="AI20" s="6">
        <v>49.772598067083571</v>
      </c>
      <c r="AJ20" s="6">
        <v>29.743795051084799</v>
      </c>
      <c r="AK20" s="6">
        <v>19.8231349598421</v>
      </c>
      <c r="AL20" s="6">
        <v>26.472990065801628</v>
      </c>
      <c r="AM20" s="6">
        <v>14.022810283813936</v>
      </c>
      <c r="AN20" s="6">
        <v>67.040944814746382</v>
      </c>
      <c r="AO20" s="6">
        <v>6.4860651194519852</v>
      </c>
      <c r="AP20">
        <v>3619.8174847546115</v>
      </c>
      <c r="AQ20">
        <v>6889.2</v>
      </c>
      <c r="AR20">
        <v>52.543364755771528</v>
      </c>
      <c r="AS20">
        <v>1756.8</v>
      </c>
      <c r="AT20">
        <v>25.500783835568718</v>
      </c>
      <c r="AU20">
        <v>64.766910526621373</v>
      </c>
      <c r="AV20">
        <v>69</v>
      </c>
      <c r="AW20">
        <v>1.55</v>
      </c>
      <c r="AX20">
        <v>3.4</v>
      </c>
      <c r="AY20">
        <v>1426840.3199790979</v>
      </c>
      <c r="AZ20">
        <v>19</v>
      </c>
      <c r="BA20">
        <v>56.14</v>
      </c>
      <c r="BB20">
        <v>10</v>
      </c>
      <c r="BC20">
        <v>6.8965517241379306</v>
      </c>
      <c r="BD20">
        <v>17</v>
      </c>
      <c r="BE20" s="1">
        <v>5.1277536339513802E-4</v>
      </c>
      <c r="BF20" s="3">
        <v>3.2602873881618799</v>
      </c>
      <c r="BG20" s="3">
        <v>2.2640633166775301</v>
      </c>
      <c r="BH20" s="1">
        <v>883391</v>
      </c>
      <c r="BI20" s="4">
        <v>19.8268443933718</v>
      </c>
      <c r="BJ20" s="4">
        <v>52.292838156179002</v>
      </c>
      <c r="BK20" s="3">
        <v>62.470602599684902</v>
      </c>
      <c r="BL20">
        <v>364912</v>
      </c>
      <c r="BM20">
        <v>5.6711779204012869</v>
      </c>
      <c r="BN20">
        <v>5032352</v>
      </c>
      <c r="BO20">
        <v>78.208892966214478</v>
      </c>
      <c r="BP20">
        <v>8906</v>
      </c>
      <c r="BQ20">
        <v>0.17</v>
      </c>
      <c r="BR20">
        <v>6.4860651194519852</v>
      </c>
      <c r="BS20">
        <v>19.309333720423865</v>
      </c>
      <c r="BT20">
        <v>1.0269999999999999</v>
      </c>
      <c r="BU20">
        <v>0.3019</v>
      </c>
      <c r="BV20">
        <v>0.308</v>
      </c>
      <c r="BW20">
        <v>4.1082620756814432</v>
      </c>
      <c r="BX20">
        <v>90.3</v>
      </c>
      <c r="BY20">
        <v>3.7</v>
      </c>
      <c r="BZ20">
        <v>4.2</v>
      </c>
      <c r="CA20">
        <v>0</v>
      </c>
      <c r="CB20">
        <v>0.3</v>
      </c>
      <c r="CC20">
        <v>0.3</v>
      </c>
      <c r="CD20">
        <v>2.1</v>
      </c>
      <c r="CE20">
        <v>1.7</v>
      </c>
      <c r="CF20">
        <v>0</v>
      </c>
      <c r="CG20" t="s">
        <v>50</v>
      </c>
      <c r="CH20">
        <v>0.22170734395008501</v>
      </c>
      <c r="CI20">
        <v>0.129487440772456</v>
      </c>
      <c r="CJ20">
        <v>0.88606208953945997</v>
      </c>
      <c r="CK20" s="6">
        <v>1747</v>
      </c>
      <c r="CL20" s="6">
        <v>3120</v>
      </c>
      <c r="CM20" s="6">
        <v>10953.000000000002</v>
      </c>
      <c r="CN20" s="4">
        <f t="shared" si="0"/>
        <v>10678.26</v>
      </c>
      <c r="CO20" s="4">
        <f t="shared" si="1"/>
        <v>0.24829448550312677</v>
      </c>
      <c r="CP20" s="4">
        <f t="shared" si="2"/>
        <v>0.44343376918703808</v>
      </c>
      <c r="CQ20" s="4">
        <f t="shared" si="3"/>
        <v>1.5567083570210349</v>
      </c>
      <c r="CR20" s="4">
        <v>0.1636034335181949</v>
      </c>
      <c r="CS20" s="4">
        <v>0.29218243421681062</v>
      </c>
      <c r="CT20" s="4">
        <v>1.0257289108899765</v>
      </c>
      <c r="CU20" s="6">
        <v>6.8875227686703094E-2</v>
      </c>
      <c r="CV20">
        <v>4.5999999999999996</v>
      </c>
      <c r="CW20">
        <v>1719.6600898797601</v>
      </c>
      <c r="CX20">
        <v>6</v>
      </c>
      <c r="CY20">
        <v>4831</v>
      </c>
      <c r="CZ20">
        <v>0.68661171119954523</v>
      </c>
    </row>
    <row r="21" spans="1:104" x14ac:dyDescent="0.2">
      <c r="A21">
        <v>20</v>
      </c>
      <c r="B21" t="s">
        <v>66</v>
      </c>
      <c r="C21" t="s">
        <v>67</v>
      </c>
      <c r="D21">
        <v>416</v>
      </c>
      <c r="E21">
        <v>0.26</v>
      </c>
      <c r="F21">
        <v>359007</v>
      </c>
      <c r="G21">
        <v>115.87517792132186</v>
      </c>
      <c r="H21">
        <v>49</v>
      </c>
      <c r="I21">
        <v>6.5473883937519212E-2</v>
      </c>
      <c r="J21">
        <v>13.64875893784801</v>
      </c>
      <c r="K21">
        <v>11.778846153846153</v>
      </c>
      <c r="L21" s="6">
        <v>1231.8258459799699</v>
      </c>
      <c r="M21" s="9">
        <v>102</v>
      </c>
      <c r="N21" s="6">
        <v>28.411702278785654</v>
      </c>
      <c r="O21" s="6">
        <v>24.519230769230766</v>
      </c>
      <c r="P21" s="10">
        <v>19</v>
      </c>
      <c r="Q21" s="6">
        <v>5.2923759146757581</v>
      </c>
      <c r="R21" s="6">
        <v>38.775510204081634</v>
      </c>
      <c r="S21" s="6">
        <v>18.627450980392158</v>
      </c>
      <c r="T21" s="10">
        <v>2</v>
      </c>
      <c r="U21" s="10">
        <v>3</v>
      </c>
      <c r="V21" s="6">
        <v>1622.79757293843</v>
      </c>
      <c r="W21" s="10">
        <v>250</v>
      </c>
      <c r="X21" s="6">
        <v>69.636525193102088</v>
      </c>
      <c r="Y21" s="6">
        <v>60.096153846153847</v>
      </c>
      <c r="Z21" s="10">
        <v>24</v>
      </c>
      <c r="AA21" s="6">
        <v>6.6851064185378002</v>
      </c>
      <c r="AB21" s="6">
        <v>48.979591836734691</v>
      </c>
      <c r="AC21" s="6">
        <v>9.6</v>
      </c>
      <c r="AD21" s="10">
        <v>0</v>
      </c>
      <c r="AE21" s="10">
        <v>2</v>
      </c>
      <c r="AF21" s="6">
        <v>1076.1078513550201</v>
      </c>
      <c r="AG21" s="7">
        <v>596</v>
      </c>
      <c r="AH21" s="6">
        <v>293</v>
      </c>
      <c r="AI21" s="6">
        <v>49.161073825503351</v>
      </c>
      <c r="AJ21" s="6">
        <v>30.653156553904299</v>
      </c>
      <c r="AK21" s="6">
        <v>19.167656203984102</v>
      </c>
      <c r="AL21" s="6">
        <v>22.09040192424461</v>
      </c>
      <c r="AM21" s="6">
        <v>12.762377931571232</v>
      </c>
      <c r="AN21" s="6">
        <v>71.238145398552788</v>
      </c>
      <c r="AO21" s="6">
        <v>6.6714526772025993</v>
      </c>
      <c r="AP21">
        <v>240.1</v>
      </c>
      <c r="AQ21">
        <v>594.20000000000005</v>
      </c>
      <c r="AR21">
        <v>40.407270279367211</v>
      </c>
      <c r="AS21">
        <v>174.1</v>
      </c>
      <c r="AT21">
        <v>29.299899023897673</v>
      </c>
      <c r="AU21">
        <v>60.418545944126556</v>
      </c>
      <c r="AV21">
        <v>13</v>
      </c>
      <c r="AW21">
        <v>1.83</v>
      </c>
      <c r="AX21">
        <v>5</v>
      </c>
      <c r="AY21">
        <v>1096814.1151127568</v>
      </c>
      <c r="AZ21">
        <v>7</v>
      </c>
      <c r="BA21">
        <v>28.43</v>
      </c>
      <c r="BB21">
        <v>1</v>
      </c>
      <c r="BC21">
        <v>0.68965517241379315</v>
      </c>
      <c r="BD21">
        <v>21</v>
      </c>
      <c r="BE21" s="1">
        <v>3.0978678334911099E-4</v>
      </c>
      <c r="BF21" s="3">
        <v>1.9696616001304501</v>
      </c>
      <c r="BG21" s="3">
        <v>1.2885017314802101</v>
      </c>
      <c r="BH21" s="1">
        <v>66119</v>
      </c>
      <c r="BI21" s="4">
        <v>18.946683707095701</v>
      </c>
      <c r="BJ21" s="4">
        <v>80.241697261113998</v>
      </c>
      <c r="BK21" s="3">
        <v>34.306413964631901</v>
      </c>
      <c r="BL21">
        <v>42769</v>
      </c>
      <c r="BM21">
        <v>7.3719572943922174</v>
      </c>
      <c r="BN21">
        <v>443351</v>
      </c>
      <c r="BO21">
        <v>76.419009993829263</v>
      </c>
      <c r="BP21">
        <v>42521</v>
      </c>
      <c r="BQ21">
        <v>11.13</v>
      </c>
      <c r="BR21">
        <v>6.6714526772025993</v>
      </c>
      <c r="BS21">
        <v>6.0218855218855216</v>
      </c>
      <c r="BT21">
        <v>1.018</v>
      </c>
      <c r="BU21">
        <v>0.28210000000000002</v>
      </c>
      <c r="BV21">
        <v>0.24709999999999999</v>
      </c>
      <c r="BW21">
        <v>1.2291975236176367</v>
      </c>
      <c r="BX21">
        <v>0</v>
      </c>
      <c r="BY21">
        <v>0</v>
      </c>
      <c r="BZ21">
        <v>86</v>
      </c>
      <c r="CA21">
        <v>10.7</v>
      </c>
      <c r="CB21">
        <v>0</v>
      </c>
      <c r="CC21">
        <v>0</v>
      </c>
      <c r="CD21">
        <v>0</v>
      </c>
      <c r="CE21">
        <v>0</v>
      </c>
      <c r="CF21">
        <v>0</v>
      </c>
      <c r="CG21" t="s">
        <v>58</v>
      </c>
      <c r="CH21">
        <v>0.19681549029022899</v>
      </c>
      <c r="CI21">
        <v>0.69317533386575303</v>
      </c>
      <c r="CJ21">
        <v>2.9958759322547698E-2</v>
      </c>
      <c r="CK21" s="6">
        <v>204</v>
      </c>
      <c r="CL21" s="4">
        <v>423</v>
      </c>
      <c r="CM21" s="6">
        <v>1414</v>
      </c>
      <c r="CN21" s="4">
        <f t="shared" si="0"/>
        <v>1087.3860000000002</v>
      </c>
      <c r="CO21" s="4">
        <f t="shared" si="1"/>
        <v>0.34228187919463088</v>
      </c>
      <c r="CP21" s="4">
        <f t="shared" si="2"/>
        <v>0.70973154362416102</v>
      </c>
      <c r="CQ21" s="4">
        <f t="shared" si="3"/>
        <v>2.3724832214765099</v>
      </c>
      <c r="CR21" s="4">
        <v>0.18760587316739408</v>
      </c>
      <c r="CS21" s="4">
        <v>0.38900629583239066</v>
      </c>
      <c r="CT21" s="4">
        <v>1.3003661993073294</v>
      </c>
      <c r="CU21" s="6">
        <v>0.18380241240666284</v>
      </c>
      <c r="CV21">
        <v>9.9</v>
      </c>
      <c r="CW21">
        <v>2092.7569735027901</v>
      </c>
      <c r="CX21">
        <v>3.8</v>
      </c>
      <c r="CY21">
        <v>450</v>
      </c>
      <c r="CZ21">
        <v>0.75503355704697983</v>
      </c>
    </row>
    <row r="22" spans="1:104" x14ac:dyDescent="0.2">
      <c r="A22">
        <v>21</v>
      </c>
      <c r="B22" t="s">
        <v>59</v>
      </c>
      <c r="C22" t="s">
        <v>60</v>
      </c>
      <c r="D22">
        <v>1064</v>
      </c>
      <c r="E22">
        <v>0.67</v>
      </c>
      <c r="F22">
        <v>484913</v>
      </c>
      <c r="G22">
        <v>219.42080331935833</v>
      </c>
      <c r="H22">
        <v>498</v>
      </c>
      <c r="I22">
        <v>0.66542845307927678</v>
      </c>
      <c r="J22">
        <v>102.69883463631621</v>
      </c>
      <c r="K22">
        <v>46.804511278195484</v>
      </c>
      <c r="L22" s="6">
        <v>1955.0895031044799</v>
      </c>
      <c r="M22" s="9">
        <v>283</v>
      </c>
      <c r="N22" s="6">
        <v>58.360984341521053</v>
      </c>
      <c r="O22" s="6">
        <v>26.597744360902254</v>
      </c>
      <c r="P22" s="10">
        <v>163</v>
      </c>
      <c r="Q22" s="6">
        <v>33.614277200240039</v>
      </c>
      <c r="R22" s="6">
        <v>32.730923694779115</v>
      </c>
      <c r="S22" s="6">
        <v>57.597173144876322</v>
      </c>
      <c r="T22" s="10">
        <v>1</v>
      </c>
      <c r="U22" s="10">
        <v>6</v>
      </c>
      <c r="V22" s="6">
        <v>2008.0290720636599</v>
      </c>
      <c r="W22" s="10">
        <v>592</v>
      </c>
      <c r="X22" s="6">
        <v>122.08375523031967</v>
      </c>
      <c r="Y22" s="6">
        <v>55.639097744360896</v>
      </c>
      <c r="Z22" s="10">
        <v>276</v>
      </c>
      <c r="AA22" s="6">
        <v>56.917426424946335</v>
      </c>
      <c r="AB22" s="6">
        <v>55.421686746987952</v>
      </c>
      <c r="AC22" s="6">
        <v>46.621621621621621</v>
      </c>
      <c r="AD22" s="10">
        <v>3</v>
      </c>
      <c r="AE22" s="10">
        <v>4</v>
      </c>
      <c r="AF22" s="6">
        <v>2018.3986422906</v>
      </c>
      <c r="AG22" s="7">
        <v>1265</v>
      </c>
      <c r="AH22" s="6">
        <v>587</v>
      </c>
      <c r="AI22" s="6">
        <v>46.403162055335969</v>
      </c>
      <c r="AJ22" s="6">
        <v>28.834249613202701</v>
      </c>
      <c r="AK22" s="6">
        <v>18.5919561965833</v>
      </c>
      <c r="AL22" s="6">
        <v>24.383996356986827</v>
      </c>
      <c r="AM22" s="6">
        <v>13.463732333402115</v>
      </c>
      <c r="AN22" s="6">
        <v>70.249674476850501</v>
      </c>
      <c r="AO22" s="6">
        <v>5.3663291661626689</v>
      </c>
      <c r="AP22">
        <v>324.89999999999998</v>
      </c>
      <c r="AQ22">
        <v>1240.5</v>
      </c>
      <c r="AR22">
        <v>26.191051995163239</v>
      </c>
      <c r="AS22">
        <v>317.60000000000002</v>
      </c>
      <c r="AT22">
        <v>25.602579604997988</v>
      </c>
      <c r="AU22">
        <v>39.090124949617092</v>
      </c>
      <c r="AV22">
        <v>18</v>
      </c>
      <c r="AW22">
        <v>1.25</v>
      </c>
      <c r="AX22">
        <v>0.8</v>
      </c>
      <c r="AY22">
        <v>2052698.1337363967</v>
      </c>
      <c r="AZ22">
        <v>11</v>
      </c>
      <c r="BA22">
        <v>21.76</v>
      </c>
      <c r="BB22">
        <v>1</v>
      </c>
      <c r="BC22">
        <v>0.68965517241379315</v>
      </c>
      <c r="BD22">
        <v>30</v>
      </c>
      <c r="BE22" s="1">
        <v>1.17813309475693E-4</v>
      </c>
      <c r="BF22" s="3">
        <v>0.74907118099047298</v>
      </c>
      <c r="BG22" s="3">
        <v>0.43918470952803401</v>
      </c>
      <c r="BH22" s="1">
        <v>111361</v>
      </c>
      <c r="BI22" s="4">
        <v>23.578246214302698</v>
      </c>
      <c r="BJ22" s="4">
        <v>64.906491264101106</v>
      </c>
      <c r="BK22" s="3">
        <v>54.015858965827597</v>
      </c>
      <c r="BL22">
        <v>104980</v>
      </c>
      <c r="BM22">
        <v>9.023551658930721</v>
      </c>
      <c r="BN22">
        <v>914041</v>
      </c>
      <c r="BO22">
        <v>78.566357228812095</v>
      </c>
      <c r="BP22">
        <v>2224</v>
      </c>
      <c r="BQ22">
        <v>0.36</v>
      </c>
      <c r="BR22">
        <v>5.3663291661626689</v>
      </c>
      <c r="BS22">
        <v>31.047542304593069</v>
      </c>
      <c r="BT22">
        <v>0.98899999999999999</v>
      </c>
      <c r="BU22">
        <v>0.30769999999999997</v>
      </c>
      <c r="BV22">
        <v>0.31730000000000003</v>
      </c>
      <c r="BW22">
        <v>7.961247597506155</v>
      </c>
      <c r="BX22">
        <v>91.8</v>
      </c>
      <c r="BY22">
        <v>1</v>
      </c>
      <c r="BZ22">
        <v>0</v>
      </c>
      <c r="CA22">
        <v>2.1</v>
      </c>
      <c r="CB22">
        <v>0</v>
      </c>
      <c r="CC22">
        <v>4.0999999999999996</v>
      </c>
      <c r="CD22">
        <v>1</v>
      </c>
      <c r="CE22">
        <v>1</v>
      </c>
      <c r="CF22">
        <v>0</v>
      </c>
      <c r="CG22" t="s">
        <v>50</v>
      </c>
      <c r="CH22">
        <v>0.17150671502793799</v>
      </c>
      <c r="CI22">
        <v>0.110373343986161</v>
      </c>
      <c r="CJ22">
        <v>0.86986503471564003</v>
      </c>
      <c r="CK22" s="6">
        <v>355</v>
      </c>
      <c r="CL22" s="6">
        <v>603</v>
      </c>
      <c r="CM22" s="6">
        <v>1174</v>
      </c>
      <c r="CN22" s="4">
        <f t="shared" si="0"/>
        <v>1550.625</v>
      </c>
      <c r="CO22" s="4">
        <f t="shared" si="1"/>
        <v>0.28063241106719367</v>
      </c>
      <c r="CP22" s="4">
        <f t="shared" si="2"/>
        <v>0.47667984189723323</v>
      </c>
      <c r="CQ22" s="4">
        <f t="shared" si="3"/>
        <v>0.92806324110671934</v>
      </c>
      <c r="CR22" s="4">
        <v>0.22893994357114067</v>
      </c>
      <c r="CS22" s="4">
        <v>0.38887545344619107</v>
      </c>
      <c r="CT22" s="4">
        <v>0.75711406690850469</v>
      </c>
      <c r="CU22" s="6">
        <v>0.11964735516372794</v>
      </c>
      <c r="CV22">
        <v>5.6</v>
      </c>
      <c r="CW22">
        <v>1700.2003974889601</v>
      </c>
      <c r="CX22">
        <v>2.9</v>
      </c>
      <c r="CY22">
        <v>729</v>
      </c>
      <c r="CZ22">
        <v>0.57628458498023716</v>
      </c>
    </row>
    <row r="23" spans="1:104" x14ac:dyDescent="0.2">
      <c r="A23">
        <v>22</v>
      </c>
      <c r="B23" t="s">
        <v>51</v>
      </c>
      <c r="C23" t="s">
        <v>52</v>
      </c>
      <c r="D23">
        <v>112</v>
      </c>
      <c r="E23">
        <v>7.0000000000000007E-2</v>
      </c>
      <c r="F23">
        <v>517784</v>
      </c>
      <c r="G23">
        <v>21.630641348515983</v>
      </c>
      <c r="H23">
        <v>1</v>
      </c>
      <c r="I23">
        <v>1.3362017130105961E-3</v>
      </c>
      <c r="J23">
        <v>0.19313072632603556</v>
      </c>
      <c r="K23">
        <v>0.89285714285714279</v>
      </c>
      <c r="L23" s="6">
        <v>973.26171328366399</v>
      </c>
      <c r="M23" s="9">
        <v>54</v>
      </c>
      <c r="N23" s="6">
        <v>10.429059221605922</v>
      </c>
      <c r="O23" s="6">
        <v>48.214285714285715</v>
      </c>
      <c r="P23" s="10">
        <v>1</v>
      </c>
      <c r="Q23" s="6">
        <v>0.19313072632603556</v>
      </c>
      <c r="R23" s="6">
        <v>100</v>
      </c>
      <c r="S23" s="6">
        <v>1.8518518518518516</v>
      </c>
      <c r="T23" s="10">
        <v>1</v>
      </c>
      <c r="U23" s="10">
        <v>0</v>
      </c>
      <c r="V23" s="6">
        <v>1047.3188444058901</v>
      </c>
      <c r="W23" s="10">
        <v>1</v>
      </c>
      <c r="X23" s="6">
        <v>0.19313072632603556</v>
      </c>
      <c r="Y23" s="6">
        <v>0.89285714285714279</v>
      </c>
      <c r="Z23" s="10">
        <v>0</v>
      </c>
      <c r="AA23" s="6">
        <v>0</v>
      </c>
      <c r="AB23" s="6">
        <v>0</v>
      </c>
      <c r="AC23" s="6">
        <v>0</v>
      </c>
      <c r="AD23" s="10">
        <v>0</v>
      </c>
      <c r="AE23" s="6">
        <v>0</v>
      </c>
      <c r="AF23" s="6">
        <v>1628.5128507413999</v>
      </c>
      <c r="AG23" s="7">
        <v>755</v>
      </c>
      <c r="AH23" s="6">
        <v>375</v>
      </c>
      <c r="AI23" s="6">
        <v>49.668874172185426</v>
      </c>
      <c r="AJ23" s="6">
        <v>28.614612959503699</v>
      </c>
      <c r="AK23" s="6">
        <v>19.116375773436399</v>
      </c>
      <c r="AL23" s="6">
        <v>26.196626451093881</v>
      </c>
      <c r="AM23" s="6">
        <v>14.117508286758284</v>
      </c>
      <c r="AN23" s="6">
        <v>68.355119897894951</v>
      </c>
      <c r="AO23" s="6">
        <v>5.4482536510111768</v>
      </c>
      <c r="AP23">
        <v>310.60000000000002</v>
      </c>
      <c r="AQ23">
        <v>745.3</v>
      </c>
      <c r="AR23">
        <v>41.674493492553339</v>
      </c>
      <c r="AS23">
        <v>317.5</v>
      </c>
      <c r="AT23">
        <v>42.600295183147729</v>
      </c>
      <c r="AU23">
        <v>69.473232255467593</v>
      </c>
      <c r="AV23">
        <v>13</v>
      </c>
      <c r="AW23">
        <v>1.73</v>
      </c>
      <c r="AX23">
        <v>1.3</v>
      </c>
      <c r="AY23">
        <v>1198453.9359989266</v>
      </c>
      <c r="AZ23">
        <v>5</v>
      </c>
      <c r="BA23">
        <v>40.950000000000003</v>
      </c>
      <c r="BB23">
        <v>1</v>
      </c>
      <c r="BC23">
        <v>0.68965517241379315</v>
      </c>
      <c r="BD23">
        <v>28</v>
      </c>
      <c r="BE23" s="1">
        <v>1.98496845072309E-4</v>
      </c>
      <c r="BF23" s="3">
        <v>1.2620667972312101</v>
      </c>
      <c r="BG23" s="3">
        <v>1.0694304558904599</v>
      </c>
      <c r="BH23" s="1">
        <v>237486</v>
      </c>
      <c r="BI23" s="4">
        <v>47.330690630362398</v>
      </c>
      <c r="BJ23" s="4">
        <v>76.414080983101499</v>
      </c>
      <c r="BK23" s="3">
        <v>64.462310322066799</v>
      </c>
      <c r="BL23">
        <v>55159</v>
      </c>
      <c r="BM23">
        <v>7.7356209645299367</v>
      </c>
      <c r="BN23">
        <v>527688</v>
      </c>
      <c r="BO23">
        <v>74.004139950522543</v>
      </c>
      <c r="BP23">
        <v>5049</v>
      </c>
      <c r="BQ23">
        <v>1.23</v>
      </c>
      <c r="BR23">
        <v>5.4482536510111768</v>
      </c>
      <c r="BS23">
        <v>5.1288590604026849</v>
      </c>
      <c r="BT23">
        <v>1.046</v>
      </c>
      <c r="BU23">
        <v>0.30380000000000001</v>
      </c>
      <c r="BV23">
        <v>0.32269999999999999</v>
      </c>
      <c r="BW23">
        <v>1.8351126970544085</v>
      </c>
      <c r="BX23">
        <v>3.6</v>
      </c>
      <c r="BY23">
        <v>5</v>
      </c>
      <c r="BZ23">
        <v>0</v>
      </c>
      <c r="CA23">
        <v>90.6</v>
      </c>
      <c r="CB23">
        <v>0</v>
      </c>
      <c r="CC23">
        <v>0</v>
      </c>
      <c r="CD23">
        <v>0</v>
      </c>
      <c r="CE23">
        <v>0</v>
      </c>
      <c r="CF23">
        <v>0</v>
      </c>
      <c r="CG23" t="s">
        <v>53</v>
      </c>
      <c r="CH23">
        <v>0.16201385275754401</v>
      </c>
      <c r="CI23">
        <v>0.625874690338312</v>
      </c>
      <c r="CJ23">
        <v>8.9319354333134995E-2</v>
      </c>
      <c r="CK23" s="6">
        <v>272</v>
      </c>
      <c r="CL23" s="6">
        <v>539</v>
      </c>
      <c r="CM23" s="6">
        <v>1805.0000000000002</v>
      </c>
      <c r="CN23" s="4">
        <f t="shared" si="0"/>
        <v>1289.3689999999999</v>
      </c>
      <c r="CO23" s="4">
        <f t="shared" si="1"/>
        <v>0.36026490066225164</v>
      </c>
      <c r="CP23" s="4">
        <f t="shared" si="2"/>
        <v>0.71390728476821197</v>
      </c>
      <c r="CQ23" s="4">
        <f t="shared" si="3"/>
        <v>2.3907284768211925</v>
      </c>
      <c r="CR23" s="4">
        <v>0.21095590168524295</v>
      </c>
      <c r="CS23" s="4">
        <v>0.41803393753068363</v>
      </c>
      <c r="CT23" s="4">
        <v>1.399909568168616</v>
      </c>
      <c r="CU23" s="6">
        <v>0.11023622047244094</v>
      </c>
      <c r="CV23">
        <v>4.4000000000000004</v>
      </c>
      <c r="CW23">
        <v>2095.9354649851598</v>
      </c>
      <c r="CX23">
        <v>3.2</v>
      </c>
      <c r="CY23">
        <v>599</v>
      </c>
      <c r="CZ23">
        <v>0.79337748344370862</v>
      </c>
    </row>
    <row r="24" spans="1:104" x14ac:dyDescent="0.2">
      <c r="A24">
        <v>23</v>
      </c>
      <c r="B24" t="s">
        <v>108</v>
      </c>
      <c r="C24" t="s">
        <v>109</v>
      </c>
      <c r="D24">
        <v>4373</v>
      </c>
      <c r="E24">
        <v>2.76</v>
      </c>
      <c r="F24">
        <v>1290410</v>
      </c>
      <c r="G24">
        <v>338.88454057237618</v>
      </c>
      <c r="H24">
        <v>1879</v>
      </c>
      <c r="I24">
        <v>2.5107230187469098</v>
      </c>
      <c r="J24">
        <v>145.6126347439961</v>
      </c>
      <c r="K24">
        <v>42.968214040704325</v>
      </c>
      <c r="L24" s="6">
        <v>2447.35333714539</v>
      </c>
      <c r="M24" s="9">
        <v>667</v>
      </c>
      <c r="N24" s="6">
        <v>51.688998070380734</v>
      </c>
      <c r="O24" s="6">
        <v>15.252686942602335</v>
      </c>
      <c r="P24" s="10">
        <v>296</v>
      </c>
      <c r="Q24" s="6">
        <v>22.938445920288899</v>
      </c>
      <c r="R24" s="6">
        <v>15.753060138371474</v>
      </c>
      <c r="S24" s="6">
        <v>44.377811094452774</v>
      </c>
      <c r="T24" s="10">
        <v>6</v>
      </c>
      <c r="U24" s="10">
        <v>20</v>
      </c>
      <c r="V24" s="6">
        <v>2268.1229407564601</v>
      </c>
      <c r="W24" s="10">
        <v>2364</v>
      </c>
      <c r="X24" s="6">
        <v>183.19758836338838</v>
      </c>
      <c r="Y24" s="6">
        <v>54.058998399268233</v>
      </c>
      <c r="Z24" s="10">
        <v>985</v>
      </c>
      <c r="AA24" s="6">
        <v>65.768783664770169</v>
      </c>
      <c r="AB24" s="6">
        <v>52.421500798296975</v>
      </c>
      <c r="AC24" s="6">
        <v>41.666666666666671</v>
      </c>
      <c r="AD24" s="10">
        <v>5</v>
      </c>
      <c r="AE24" s="10">
        <v>51</v>
      </c>
      <c r="AF24" s="6">
        <v>2521.4838462902999</v>
      </c>
      <c r="AG24" s="7">
        <v>1793</v>
      </c>
      <c r="AH24" s="6">
        <v>890</v>
      </c>
      <c r="AI24" s="6">
        <v>49.637479085331847</v>
      </c>
      <c r="AJ24" s="6">
        <v>30.534040572538899</v>
      </c>
      <c r="AK24" s="6">
        <v>19.6970096099292</v>
      </c>
      <c r="AL24" s="6">
        <v>24.286136581665662</v>
      </c>
      <c r="AM24" s="6">
        <v>13.026180755415748</v>
      </c>
      <c r="AN24" s="6">
        <v>68.744450393771046</v>
      </c>
      <c r="AO24" s="6">
        <v>6.9694130245632824</v>
      </c>
      <c r="AP24">
        <v>528.29999999999995</v>
      </c>
      <c r="AQ24">
        <v>1791.2</v>
      </c>
      <c r="AR24">
        <v>29.494193836534166</v>
      </c>
      <c r="AS24">
        <v>600.1</v>
      </c>
      <c r="AT24">
        <v>33.502679767753463</v>
      </c>
      <c r="AU24">
        <v>72.041648057168388</v>
      </c>
      <c r="AV24">
        <v>26</v>
      </c>
      <c r="AW24">
        <v>1.65</v>
      </c>
      <c r="AX24">
        <v>2.8</v>
      </c>
      <c r="AY24">
        <v>1259709.724486378</v>
      </c>
      <c r="AZ24">
        <v>3</v>
      </c>
      <c r="BA24">
        <v>43.59</v>
      </c>
      <c r="BB24">
        <v>3</v>
      </c>
      <c r="BC24">
        <v>2.0689655172413794</v>
      </c>
      <c r="BD24">
        <v>20</v>
      </c>
      <c r="BE24" s="1">
        <v>3.4537721427606598E-4</v>
      </c>
      <c r="BF24" s="3">
        <v>2.1959498373852999</v>
      </c>
      <c r="BG24" s="3">
        <v>0.89446841428836199</v>
      </c>
      <c r="BH24" s="3">
        <v>0</v>
      </c>
      <c r="BI24" s="4">
        <v>0</v>
      </c>
      <c r="BJ24" s="4">
        <v>40.531829318286498</v>
      </c>
      <c r="BK24" s="3">
        <v>36.069242775041303</v>
      </c>
      <c r="BL24">
        <v>95471</v>
      </c>
      <c r="BM24">
        <v>5.4224890935104044</v>
      </c>
      <c r="BN24">
        <v>1301816</v>
      </c>
      <c r="BO24">
        <v>73.939552971659879</v>
      </c>
      <c r="BP24">
        <v>49740</v>
      </c>
      <c r="BQ24">
        <v>3.64</v>
      </c>
      <c r="BR24">
        <v>6.9694130245632824</v>
      </c>
      <c r="BS24">
        <v>6.9793411501954212</v>
      </c>
      <c r="BT24">
        <v>1.038</v>
      </c>
      <c r="BU24">
        <v>0.3538</v>
      </c>
      <c r="BV24">
        <v>0.27689999999999998</v>
      </c>
      <c r="BW24">
        <v>0.86535436542336153</v>
      </c>
      <c r="BX24">
        <v>4.5999999999999996</v>
      </c>
      <c r="BY24">
        <v>0.3</v>
      </c>
      <c r="BZ24">
        <v>0.5</v>
      </c>
      <c r="CA24">
        <v>91.5</v>
      </c>
      <c r="CB24">
        <v>0</v>
      </c>
      <c r="CC24">
        <v>0.5</v>
      </c>
      <c r="CD24">
        <v>1.4</v>
      </c>
      <c r="CE24">
        <v>0.5</v>
      </c>
      <c r="CF24">
        <v>0</v>
      </c>
      <c r="CG24" t="s">
        <v>53</v>
      </c>
      <c r="CH24">
        <v>0.14849971958797201</v>
      </c>
      <c r="CI24">
        <v>0.62608811976386902</v>
      </c>
      <c r="CJ24">
        <v>7.9409305577267594E-2</v>
      </c>
      <c r="CK24" s="6">
        <v>409</v>
      </c>
      <c r="CL24" s="6">
        <v>904</v>
      </c>
      <c r="CM24" s="6">
        <v>3494.9999999999995</v>
      </c>
      <c r="CN24" s="4">
        <f t="shared" si="0"/>
        <v>2955.48</v>
      </c>
      <c r="CO24" s="4">
        <f t="shared" si="1"/>
        <v>0.22810931399888454</v>
      </c>
      <c r="CP24" s="4">
        <f t="shared" si="2"/>
        <v>0.50418293363078637</v>
      </c>
      <c r="CQ24" s="4">
        <f t="shared" si="3"/>
        <v>1.9492470719464583</v>
      </c>
      <c r="CR24" s="4">
        <v>0.13838699635930543</v>
      </c>
      <c r="CS24" s="4">
        <v>0.30587248095064085</v>
      </c>
      <c r="CT24" s="4">
        <v>1.1825490275691257</v>
      </c>
      <c r="CU24" s="6">
        <v>0.10331611398100317</v>
      </c>
      <c r="CV24">
        <v>7.1</v>
      </c>
      <c r="CW24">
        <v>2484.0896253503802</v>
      </c>
      <c r="CX24">
        <v>2</v>
      </c>
      <c r="CY24">
        <v>964</v>
      </c>
      <c r="CZ24">
        <v>0.53764640267707753</v>
      </c>
    </row>
    <row r="25" spans="1:104" x14ac:dyDescent="0.2">
      <c r="A25">
        <v>24</v>
      </c>
      <c r="B25" t="s">
        <v>81</v>
      </c>
      <c r="C25" t="s">
        <v>82</v>
      </c>
      <c r="D25">
        <v>3670</v>
      </c>
      <c r="E25">
        <v>2.31</v>
      </c>
      <c r="F25">
        <v>1354186</v>
      </c>
      <c r="G25">
        <v>271.01151540482624</v>
      </c>
      <c r="H25">
        <v>1820</v>
      </c>
      <c r="I25">
        <v>2.4318871176792851</v>
      </c>
      <c r="J25">
        <v>134.39808120893289</v>
      </c>
      <c r="K25">
        <v>49.591280653950953</v>
      </c>
      <c r="L25" s="6">
        <v>3416.1528646514898</v>
      </c>
      <c r="M25" s="9">
        <v>297</v>
      </c>
      <c r="N25" s="6">
        <v>21.93199457090828</v>
      </c>
      <c r="O25" s="6">
        <v>8.0926430517711179</v>
      </c>
      <c r="P25" s="10">
        <v>239</v>
      </c>
      <c r="Q25" s="6">
        <v>17.648978796118111</v>
      </c>
      <c r="R25" s="6">
        <v>13.131868131868133</v>
      </c>
      <c r="S25" s="6">
        <v>80.471380471380471</v>
      </c>
      <c r="T25" s="10">
        <v>16</v>
      </c>
      <c r="U25" s="10">
        <v>11</v>
      </c>
      <c r="V25" s="6">
        <v>3874.4038979905899</v>
      </c>
      <c r="W25" s="10">
        <v>2375</v>
      </c>
      <c r="X25" s="6">
        <v>175.38211146770089</v>
      </c>
      <c r="Y25" s="6">
        <v>64.713896457765657</v>
      </c>
      <c r="Z25" s="10">
        <v>1087</v>
      </c>
      <c r="AA25" s="6">
        <v>80.269623227532989</v>
      </c>
      <c r="AB25" s="6">
        <v>59.725274725274723</v>
      </c>
      <c r="AC25" s="6">
        <v>45.768421052631581</v>
      </c>
      <c r="AD25" s="10">
        <v>19</v>
      </c>
      <c r="AE25" s="10">
        <v>25</v>
      </c>
      <c r="AF25" s="6">
        <v>2877.7672981870701</v>
      </c>
      <c r="AG25" s="7">
        <v>1998</v>
      </c>
      <c r="AH25" s="6">
        <v>989</v>
      </c>
      <c r="AI25" s="6">
        <v>49.4994994994995</v>
      </c>
      <c r="AJ25" s="6">
        <v>32.077311704262499</v>
      </c>
      <c r="AK25" s="6">
        <v>19.7649592967744</v>
      </c>
      <c r="AL25" s="6">
        <v>20.92672754684644</v>
      </c>
      <c r="AM25" s="6">
        <v>12.528105860234536</v>
      </c>
      <c r="AN25" s="6">
        <v>71.038300053458698</v>
      </c>
      <c r="AO25" s="6">
        <v>8.0349723996948654</v>
      </c>
      <c r="AP25">
        <v>1153.3</v>
      </c>
      <c r="AQ25">
        <v>1992.3</v>
      </c>
      <c r="AR25">
        <v>57.88786829292777</v>
      </c>
      <c r="AS25">
        <v>418.4</v>
      </c>
      <c r="AT25">
        <v>21.000853285147819</v>
      </c>
      <c r="AU25">
        <v>67.970988304974156</v>
      </c>
      <c r="AV25">
        <v>28</v>
      </c>
      <c r="AW25">
        <v>1.86</v>
      </c>
      <c r="AX25">
        <v>3</v>
      </c>
      <c r="AY25">
        <v>1474445.7420067259</v>
      </c>
      <c r="AZ25">
        <v>10</v>
      </c>
      <c r="BA25">
        <v>48.24</v>
      </c>
      <c r="BB25">
        <v>2</v>
      </c>
      <c r="BC25">
        <v>1.3793103448275863</v>
      </c>
      <c r="BD25">
        <v>22</v>
      </c>
      <c r="BE25" s="1">
        <v>2.9157519256721697E-4</v>
      </c>
      <c r="BF25" s="3">
        <v>1.8538701171866401</v>
      </c>
      <c r="BG25" s="3">
        <v>0.70355376123739499</v>
      </c>
      <c r="BH25" s="1">
        <v>50636</v>
      </c>
      <c r="BI25" s="4">
        <v>3.8166650084268698</v>
      </c>
      <c r="BJ25" s="4">
        <v>39.721693092979002</v>
      </c>
      <c r="BK25" s="3">
        <v>39.3476288889849</v>
      </c>
      <c r="BL25">
        <v>90924</v>
      </c>
      <c r="BM25">
        <v>4.6569563939165164</v>
      </c>
      <c r="BN25">
        <v>1497214</v>
      </c>
      <c r="BO25">
        <v>76.684487158080628</v>
      </c>
      <c r="BP25">
        <v>81605</v>
      </c>
      <c r="BQ25">
        <v>5.58</v>
      </c>
      <c r="BR25">
        <v>8.0349723996948654</v>
      </c>
      <c r="BS25">
        <v>10.818273092369479</v>
      </c>
      <c r="BT25">
        <v>1.0369999999999999</v>
      </c>
      <c r="BU25">
        <v>0.35680000000000001</v>
      </c>
      <c r="BV25">
        <v>0.28739999999999999</v>
      </c>
      <c r="BW25">
        <v>1.3549916970187603</v>
      </c>
      <c r="BX25">
        <v>4.2</v>
      </c>
      <c r="BY25">
        <v>0</v>
      </c>
      <c r="BZ25">
        <v>92.5</v>
      </c>
      <c r="CA25">
        <v>0.7</v>
      </c>
      <c r="CB25">
        <v>0</v>
      </c>
      <c r="CC25">
        <v>0.2</v>
      </c>
      <c r="CD25">
        <v>0.6</v>
      </c>
      <c r="CE25">
        <v>0.3</v>
      </c>
      <c r="CF25">
        <v>0</v>
      </c>
      <c r="CG25" t="s">
        <v>58</v>
      </c>
      <c r="CH25">
        <v>0.116197789172614</v>
      </c>
      <c r="CI25">
        <v>0.69110026450265405</v>
      </c>
      <c r="CJ25">
        <v>6.7330616854171896E-2</v>
      </c>
      <c r="CK25" s="6">
        <v>515</v>
      </c>
      <c r="CL25" s="6">
        <v>1137</v>
      </c>
      <c r="CM25" s="6">
        <v>4136</v>
      </c>
      <c r="CN25" s="4">
        <f t="shared" si="0"/>
        <v>3705.6779999999999</v>
      </c>
      <c r="CO25" s="4">
        <f t="shared" si="1"/>
        <v>0.25775775775775778</v>
      </c>
      <c r="CP25" s="4">
        <f t="shared" si="2"/>
        <v>0.56906906906906907</v>
      </c>
      <c r="CQ25" s="4">
        <f t="shared" si="3"/>
        <v>2.07007007007007</v>
      </c>
      <c r="CR25" s="4">
        <v>0.13897591749741883</v>
      </c>
      <c r="CS25" s="4">
        <v>0.30682644309624313</v>
      </c>
      <c r="CT25" s="4">
        <v>1.1161250383870374</v>
      </c>
      <c r="CU25" s="6">
        <v>0.11472275334608031</v>
      </c>
      <c r="CV25">
        <v>6.6</v>
      </c>
      <c r="CW25">
        <v>2844.9774956965598</v>
      </c>
      <c r="CX25">
        <v>2.7</v>
      </c>
      <c r="CY25">
        <v>1578</v>
      </c>
      <c r="CZ25">
        <v>0.78978978978978975</v>
      </c>
    </row>
    <row r="26" spans="1:104" x14ac:dyDescent="0.2">
      <c r="A26">
        <v>25</v>
      </c>
      <c r="B26" t="s">
        <v>61</v>
      </c>
      <c r="C26" t="s">
        <v>62</v>
      </c>
      <c r="D26">
        <v>2417</v>
      </c>
      <c r="E26">
        <v>1.52</v>
      </c>
      <c r="F26">
        <v>884829</v>
      </c>
      <c r="G26">
        <v>273.16012472466429</v>
      </c>
      <c r="H26">
        <v>1118</v>
      </c>
      <c r="I26">
        <v>1.4938735151458464</v>
      </c>
      <c r="J26">
        <v>126.35209741091217</v>
      </c>
      <c r="K26">
        <v>46.25568887050062</v>
      </c>
      <c r="L26" s="6">
        <v>2059.23286893459</v>
      </c>
      <c r="M26" s="9">
        <v>301</v>
      </c>
      <c r="N26" s="6">
        <v>34.017872379860968</v>
      </c>
      <c r="O26" s="6">
        <v>12.453454695904014</v>
      </c>
      <c r="P26" s="10">
        <v>202</v>
      </c>
      <c r="Q26" s="6">
        <v>22.829269836318655</v>
      </c>
      <c r="R26" s="6">
        <v>18.067978533094813</v>
      </c>
      <c r="S26" s="6">
        <v>67.109634551495006</v>
      </c>
      <c r="T26" s="10">
        <v>7</v>
      </c>
      <c r="U26" s="10">
        <v>7</v>
      </c>
      <c r="V26" s="6">
        <v>2504.6010604098701</v>
      </c>
      <c r="W26" s="10">
        <v>1750</v>
      </c>
      <c r="X26" s="6">
        <v>197.77832778988935</v>
      </c>
      <c r="Y26" s="6">
        <v>72.403806371534955</v>
      </c>
      <c r="Z26" s="10">
        <v>743</v>
      </c>
      <c r="AA26" s="6">
        <v>83.971027170221589</v>
      </c>
      <c r="AB26" s="6">
        <v>66.457960644007159</v>
      </c>
      <c r="AC26" s="6">
        <v>42.457142857142856</v>
      </c>
      <c r="AD26" s="10">
        <v>12</v>
      </c>
      <c r="AE26" s="10">
        <v>11</v>
      </c>
      <c r="AF26" s="6">
        <v>1828.1263095940001</v>
      </c>
      <c r="AG26" s="7">
        <v>1298</v>
      </c>
      <c r="AH26" s="6">
        <v>639</v>
      </c>
      <c r="AI26" s="6">
        <v>49.229583975346685</v>
      </c>
      <c r="AJ26" s="6">
        <v>31.223728373293898</v>
      </c>
      <c r="AK26" s="6">
        <v>19.816939152318302</v>
      </c>
      <c r="AL26" s="6">
        <v>22.869835293247657</v>
      </c>
      <c r="AM26" s="6">
        <v>13.083102113256498</v>
      </c>
      <c r="AN26" s="6">
        <v>69.785608533754015</v>
      </c>
      <c r="AO26" s="6">
        <v>7.3445561729983222</v>
      </c>
      <c r="AP26">
        <v>639.6</v>
      </c>
      <c r="AQ26">
        <v>1295.2</v>
      </c>
      <c r="AR26">
        <v>49.382334774552191</v>
      </c>
      <c r="AS26">
        <v>375.6</v>
      </c>
      <c r="AT26">
        <v>28.999382334774555</v>
      </c>
      <c r="AU26">
        <v>68.316012970969737</v>
      </c>
      <c r="AV26">
        <v>18</v>
      </c>
      <c r="AW26">
        <v>1.95</v>
      </c>
      <c r="AX26">
        <v>2.2999999999999998</v>
      </c>
      <c r="AY26">
        <v>1468455.6216800495</v>
      </c>
      <c r="AZ26">
        <v>9</v>
      </c>
      <c r="BA26">
        <v>42.87</v>
      </c>
      <c r="BB26">
        <v>2</v>
      </c>
      <c r="BC26">
        <v>1.3793103448275863</v>
      </c>
      <c r="BD26">
        <v>23</v>
      </c>
      <c r="BE26" s="1">
        <v>2.66797165135421E-4</v>
      </c>
      <c r="BF26" s="3">
        <v>1.6963284408382799</v>
      </c>
      <c r="BG26" s="3">
        <v>0.93717941667560301</v>
      </c>
      <c r="BH26" s="1">
        <v>174304</v>
      </c>
      <c r="BI26" s="4">
        <v>20.101902659663999</v>
      </c>
      <c r="BJ26" s="4">
        <v>82.303971332092402</v>
      </c>
      <c r="BK26" s="3">
        <v>42.896394983517602</v>
      </c>
      <c r="BL26">
        <v>73667</v>
      </c>
      <c r="BM26">
        <v>5.798633522771997</v>
      </c>
      <c r="BN26">
        <v>947797</v>
      </c>
      <c r="BO26">
        <v>74.605012515546036</v>
      </c>
      <c r="BQ26">
        <v>20.49</v>
      </c>
      <c r="BR26">
        <v>7.3445561729983222</v>
      </c>
      <c r="BS26">
        <v>12.444015444015443</v>
      </c>
      <c r="BT26">
        <v>1.075</v>
      </c>
      <c r="BU26">
        <v>0.31219999999999998</v>
      </c>
      <c r="BV26">
        <v>0.2908</v>
      </c>
      <c r="BW26">
        <v>0.76361340744186013</v>
      </c>
      <c r="BX26">
        <v>1.1000000000000001</v>
      </c>
      <c r="BY26">
        <v>98.2</v>
      </c>
      <c r="BZ26">
        <v>0.4</v>
      </c>
      <c r="CA26">
        <v>0</v>
      </c>
      <c r="CB26">
        <v>0</v>
      </c>
      <c r="CC26">
        <v>0</v>
      </c>
      <c r="CD26">
        <v>0.2</v>
      </c>
      <c r="CE26">
        <v>0.5</v>
      </c>
      <c r="CF26">
        <v>0.8</v>
      </c>
      <c r="CG26" t="s">
        <v>63</v>
      </c>
      <c r="CH26">
        <v>5.81851770844726E-2</v>
      </c>
      <c r="CI26">
        <v>0.60915984605173701</v>
      </c>
      <c r="CJ26">
        <v>0.45413379343939703</v>
      </c>
      <c r="CK26" s="6">
        <v>413</v>
      </c>
      <c r="CL26" s="6">
        <v>806</v>
      </c>
      <c r="CM26" s="6">
        <v>2464</v>
      </c>
      <c r="CN26" s="4">
        <f t="shared" si="0"/>
        <v>2525.64</v>
      </c>
      <c r="CO26" s="4">
        <f t="shared" si="1"/>
        <v>0.31818181818181818</v>
      </c>
      <c r="CP26" s="4">
        <f t="shared" si="2"/>
        <v>0.62095531587057007</v>
      </c>
      <c r="CQ26" s="4">
        <f t="shared" si="3"/>
        <v>1.8983050847457628</v>
      </c>
      <c r="CR26" s="4">
        <v>0.16352290904483616</v>
      </c>
      <c r="CS26" s="4">
        <v>0.31912703314803376</v>
      </c>
      <c r="CT26" s="4">
        <v>0.97559430480986997</v>
      </c>
      <c r="CU26" s="6">
        <v>9.3184238551650686E-2</v>
      </c>
      <c r="CV26">
        <v>4.2</v>
      </c>
      <c r="CW26">
        <v>2850.74636989091</v>
      </c>
      <c r="CX26">
        <v>3.4</v>
      </c>
      <c r="CY26">
        <v>913</v>
      </c>
      <c r="CZ26">
        <v>0.70338983050847459</v>
      </c>
    </row>
    <row r="27" spans="1:104" x14ac:dyDescent="0.2">
      <c r="A27">
        <v>26</v>
      </c>
      <c r="B27" t="s">
        <v>95</v>
      </c>
      <c r="C27" t="s">
        <v>96</v>
      </c>
      <c r="D27">
        <v>1629</v>
      </c>
      <c r="E27">
        <v>1.03</v>
      </c>
      <c r="F27">
        <v>660653</v>
      </c>
      <c r="G27">
        <v>246.57422277655593</v>
      </c>
      <c r="H27">
        <v>829</v>
      </c>
      <c r="I27">
        <v>1.1077112200857842</v>
      </c>
      <c r="J27">
        <v>125.48190956523318</v>
      </c>
      <c r="K27">
        <v>50.890116635972994</v>
      </c>
      <c r="L27" s="6">
        <v>2223.9662980759499</v>
      </c>
      <c r="M27" s="9">
        <v>261</v>
      </c>
      <c r="N27" s="6">
        <v>39.506367185194044</v>
      </c>
      <c r="O27" s="6">
        <v>16.022099447513813</v>
      </c>
      <c r="P27" s="10">
        <v>161</v>
      </c>
      <c r="Q27" s="6">
        <v>24.369828033778703</v>
      </c>
      <c r="R27" s="6">
        <v>19.420989143546443</v>
      </c>
      <c r="S27" s="6">
        <v>61.685823754789268</v>
      </c>
      <c r="T27" s="10">
        <v>7</v>
      </c>
      <c r="U27" s="10">
        <v>7</v>
      </c>
      <c r="V27" s="6">
        <v>2479.1726967003801</v>
      </c>
      <c r="W27" s="10">
        <v>884</v>
      </c>
      <c r="X27" s="6">
        <v>133.80700609851164</v>
      </c>
      <c r="Y27" s="6">
        <v>54.266421117249841</v>
      </c>
      <c r="Z27" s="10">
        <v>496</v>
      </c>
      <c r="AA27" s="6">
        <v>75.077234191020096</v>
      </c>
      <c r="AB27" s="6">
        <v>59.831121833534382</v>
      </c>
      <c r="AC27" s="6">
        <v>56.108597285067873</v>
      </c>
      <c r="AD27" s="10">
        <v>5</v>
      </c>
      <c r="AE27" s="10">
        <v>18</v>
      </c>
      <c r="AF27" s="6">
        <v>2388.99186425474</v>
      </c>
      <c r="AG27" s="7">
        <v>1114</v>
      </c>
      <c r="AH27" s="6">
        <v>553</v>
      </c>
      <c r="AI27" s="6">
        <v>49.640933572710949</v>
      </c>
      <c r="AJ27" s="6">
        <v>31.241995685892899</v>
      </c>
      <c r="AK27" s="6">
        <v>20.0384099735641</v>
      </c>
      <c r="AL27" s="6">
        <v>23.463489007732839</v>
      </c>
      <c r="AM27" s="6">
        <v>12.711503719161133</v>
      </c>
      <c r="AN27" s="6">
        <v>69.030126821419202</v>
      </c>
      <c r="AO27" s="6">
        <v>7.5063841708479542</v>
      </c>
      <c r="AP27">
        <v>552</v>
      </c>
      <c r="AQ27">
        <v>1101.7</v>
      </c>
      <c r="AR27">
        <v>50.104384133611688</v>
      </c>
      <c r="AS27">
        <v>342.6</v>
      </c>
      <c r="AT27">
        <v>31.097394935100297</v>
      </c>
      <c r="AU27">
        <v>59.966687846056097</v>
      </c>
      <c r="AV27">
        <v>14</v>
      </c>
      <c r="AW27">
        <v>1.94</v>
      </c>
      <c r="AX27">
        <v>1.8</v>
      </c>
      <c r="AY27">
        <v>1913244.3007170737</v>
      </c>
      <c r="AZ27">
        <v>18</v>
      </c>
      <c r="BA27">
        <v>40.79</v>
      </c>
      <c r="BB27">
        <v>2</v>
      </c>
      <c r="BC27">
        <v>1.3793103448275863</v>
      </c>
      <c r="BD27">
        <v>16</v>
      </c>
      <c r="BE27" s="1">
        <v>5.15667663869401E-4</v>
      </c>
      <c r="BF27" s="3">
        <v>3.27867698218718</v>
      </c>
      <c r="BG27" s="3">
        <v>1.1569498863066701</v>
      </c>
      <c r="BH27" s="3">
        <v>0</v>
      </c>
      <c r="BI27" s="4">
        <v>0</v>
      </c>
      <c r="BJ27" s="4">
        <v>40.600943871118403</v>
      </c>
      <c r="BK27" s="3">
        <v>30.8404902276306</v>
      </c>
      <c r="BL27">
        <v>56401</v>
      </c>
      <c r="BM27">
        <v>5.333624597030056</v>
      </c>
      <c r="BN27">
        <v>800168</v>
      </c>
      <c r="BO27">
        <v>75.668795350372264</v>
      </c>
      <c r="BP27">
        <v>101917</v>
      </c>
      <c r="BQ27">
        <v>6.42</v>
      </c>
      <c r="BR27">
        <v>7.5063841708479542</v>
      </c>
      <c r="BS27">
        <v>36.730490018148821</v>
      </c>
      <c r="BT27">
        <v>1.0149999999999999</v>
      </c>
      <c r="BU27">
        <v>0.32219999999999999</v>
      </c>
      <c r="BV27">
        <v>0.34189999999999998</v>
      </c>
      <c r="BW27">
        <v>1.1690803007802373</v>
      </c>
      <c r="BX27">
        <v>1.1000000000000001</v>
      </c>
      <c r="BY27">
        <v>98.4</v>
      </c>
      <c r="BZ27">
        <v>0</v>
      </c>
      <c r="CA27">
        <v>0</v>
      </c>
      <c r="CB27">
        <v>0</v>
      </c>
      <c r="CC27">
        <v>0</v>
      </c>
      <c r="CD27">
        <v>0.3</v>
      </c>
      <c r="CE27">
        <v>1.1000000000000001</v>
      </c>
      <c r="CF27">
        <v>0.1</v>
      </c>
      <c r="CG27" t="s">
        <v>63</v>
      </c>
      <c r="CH27">
        <v>5.05754337810016E-2</v>
      </c>
      <c r="CI27">
        <v>0.60862895845588805</v>
      </c>
      <c r="CJ27">
        <v>0.45442915728073102</v>
      </c>
      <c r="CK27" s="6">
        <v>347</v>
      </c>
      <c r="CL27" s="6">
        <v>559</v>
      </c>
      <c r="CM27" s="6">
        <v>1793</v>
      </c>
      <c r="CN27" s="4">
        <f t="shared" si="0"/>
        <v>2137.2980000000002</v>
      </c>
      <c r="CO27" s="4">
        <f t="shared" si="1"/>
        <v>0.31149012567324957</v>
      </c>
      <c r="CP27" s="4">
        <f t="shared" si="2"/>
        <v>0.50179533213644523</v>
      </c>
      <c r="CQ27" s="4">
        <f t="shared" si="3"/>
        <v>1.6095152603231597</v>
      </c>
      <c r="CR27" s="4">
        <v>0.16235452426381344</v>
      </c>
      <c r="CS27" s="4">
        <v>0.26154518462095594</v>
      </c>
      <c r="CT27" s="4">
        <v>0.83890968877526662</v>
      </c>
      <c r="CU27" s="6">
        <v>0.11675423234092235</v>
      </c>
      <c r="CV27">
        <v>4.8</v>
      </c>
      <c r="CW27">
        <v>3129.68534730807</v>
      </c>
      <c r="CX27">
        <v>3.1</v>
      </c>
      <c r="CY27">
        <v>866</v>
      </c>
      <c r="CZ27">
        <v>0.77737881508078999</v>
      </c>
    </row>
    <row r="28" spans="1:104" x14ac:dyDescent="0.2">
      <c r="A28">
        <v>27</v>
      </c>
      <c r="B28" t="s">
        <v>48</v>
      </c>
      <c r="C28" t="s">
        <v>49</v>
      </c>
      <c r="D28">
        <v>4429</v>
      </c>
      <c r="E28">
        <v>2.79</v>
      </c>
      <c r="F28">
        <v>1775929</v>
      </c>
      <c r="G28">
        <v>249.39060063775071</v>
      </c>
      <c r="H28">
        <v>1966</v>
      </c>
      <c r="I28">
        <v>2.6269725677788318</v>
      </c>
      <c r="J28">
        <v>110.70262380984825</v>
      </c>
      <c r="K28">
        <v>44.38925265296907</v>
      </c>
      <c r="L28" s="6">
        <v>3054.24852301685</v>
      </c>
      <c r="M28" s="9">
        <v>372</v>
      </c>
      <c r="N28" s="6">
        <v>20.946783345505366</v>
      </c>
      <c r="O28" s="6">
        <v>8.3991871754346352</v>
      </c>
      <c r="P28" s="10">
        <v>150</v>
      </c>
      <c r="Q28" s="6">
        <v>8.446283607058616</v>
      </c>
      <c r="R28" s="6">
        <v>7.6297049847405898</v>
      </c>
      <c r="S28" s="6">
        <v>40.322580645161288</v>
      </c>
      <c r="T28" s="10">
        <v>4</v>
      </c>
      <c r="U28" s="10">
        <v>10</v>
      </c>
      <c r="V28" s="6">
        <v>2800.3927053304901</v>
      </c>
      <c r="W28" s="10">
        <v>3339</v>
      </c>
      <c r="X28" s="6">
        <v>188.01427309312479</v>
      </c>
      <c r="Y28" s="6">
        <v>75.38947843757056</v>
      </c>
      <c r="Z28" s="10">
        <v>1450</v>
      </c>
      <c r="AA28" s="6">
        <v>81.64740820156662</v>
      </c>
      <c r="AB28" s="6">
        <v>73.753814852492368</v>
      </c>
      <c r="AC28" s="6">
        <v>43.426175501647201</v>
      </c>
      <c r="AD28" s="10">
        <v>27</v>
      </c>
      <c r="AE28" s="10">
        <v>31</v>
      </c>
      <c r="AF28" s="6">
        <v>2973.9816946271499</v>
      </c>
      <c r="AG28" s="7">
        <v>3385</v>
      </c>
      <c r="AH28" s="6">
        <v>1661</v>
      </c>
      <c r="AI28" s="6">
        <v>49.069423929098967</v>
      </c>
      <c r="AJ28" s="6">
        <v>29.020990495835601</v>
      </c>
      <c r="AK28" s="6">
        <v>19.400947229418399</v>
      </c>
      <c r="AL28" s="6">
        <v>25.38443997301388</v>
      </c>
      <c r="AM28" s="6">
        <v>14.702384679823385</v>
      </c>
      <c r="AN28" s="6">
        <v>68.602257192852704</v>
      </c>
      <c r="AO28" s="6">
        <v>6.0133028341334249</v>
      </c>
      <c r="AP28">
        <v>791.3</v>
      </c>
      <c r="AQ28">
        <v>3330.8</v>
      </c>
      <c r="AR28">
        <v>23.757055362075175</v>
      </c>
      <c r="AS28">
        <v>1272.4000000000001</v>
      </c>
      <c r="AT28">
        <v>38.201032784916542</v>
      </c>
      <c r="AU28">
        <v>53.318391977903204</v>
      </c>
      <c r="AV28">
        <v>43</v>
      </c>
      <c r="AW28">
        <v>1.78</v>
      </c>
      <c r="AX28">
        <v>3</v>
      </c>
      <c r="AY28">
        <v>1019521.7484087907</v>
      </c>
      <c r="AZ28">
        <v>14</v>
      </c>
      <c r="BA28">
        <v>28.96</v>
      </c>
      <c r="BB28">
        <v>6</v>
      </c>
      <c r="BC28">
        <v>4.1379310344827589</v>
      </c>
      <c r="BD28">
        <v>19</v>
      </c>
      <c r="BE28" s="1">
        <v>4.1819181431201701E-4</v>
      </c>
      <c r="BF28" s="3">
        <v>2.6589138156065499</v>
      </c>
      <c r="BG28" s="3">
        <v>3.2170364533746398</v>
      </c>
      <c r="BH28" s="1">
        <v>882913</v>
      </c>
      <c r="BI28" s="4">
        <v>50.755836346599402</v>
      </c>
      <c r="BJ28" s="4">
        <v>111.41115638132101</v>
      </c>
      <c r="BK28" s="3">
        <v>82.151228720986495</v>
      </c>
      <c r="BL28">
        <v>190936</v>
      </c>
      <c r="BM28">
        <v>6.0332705789267793</v>
      </c>
      <c r="BN28">
        <v>2380375</v>
      </c>
      <c r="BO28">
        <v>75.216022407051753</v>
      </c>
      <c r="BP28">
        <v>1713</v>
      </c>
      <c r="BQ28">
        <v>0.11</v>
      </c>
      <c r="BR28">
        <v>6.0133028341334249</v>
      </c>
      <c r="BS28">
        <v>18.296607625337735</v>
      </c>
      <c r="BT28">
        <v>1.103</v>
      </c>
      <c r="BU28">
        <v>0.26250000000000001</v>
      </c>
      <c r="BV28">
        <v>0.24129999999999999</v>
      </c>
      <c r="BW28">
        <v>3.381249581007943</v>
      </c>
      <c r="BX28">
        <v>97.4</v>
      </c>
      <c r="BY28">
        <v>0.9</v>
      </c>
      <c r="BZ28">
        <v>0</v>
      </c>
      <c r="CA28">
        <v>0</v>
      </c>
      <c r="CB28">
        <v>0.5</v>
      </c>
      <c r="CC28">
        <v>0.3</v>
      </c>
      <c r="CD28">
        <v>0.5</v>
      </c>
      <c r="CE28">
        <v>0.2</v>
      </c>
      <c r="CF28">
        <v>0</v>
      </c>
      <c r="CG28" t="s">
        <v>50</v>
      </c>
      <c r="CH28">
        <v>4.7373303721671797E-2</v>
      </c>
      <c r="CI28">
        <v>2.7297601166101901E-2</v>
      </c>
      <c r="CJ28">
        <v>0.86798014037391102</v>
      </c>
      <c r="CK28" s="6">
        <v>995</v>
      </c>
      <c r="CL28" s="6">
        <v>1922</v>
      </c>
      <c r="CM28" s="6">
        <v>4549</v>
      </c>
      <c r="CN28" s="4">
        <f t="shared" si="0"/>
        <v>5928.8240000000005</v>
      </c>
      <c r="CO28" s="4">
        <f t="shared" si="1"/>
        <v>0.29394387001477107</v>
      </c>
      <c r="CP28" s="4">
        <f t="shared" si="2"/>
        <v>0.56779911373707537</v>
      </c>
      <c r="CQ28" s="4">
        <f t="shared" si="3"/>
        <v>1.3438700147710487</v>
      </c>
      <c r="CR28" s="4">
        <v>0.16782417558692919</v>
      </c>
      <c r="CS28" s="4">
        <v>0.32417896027947529</v>
      </c>
      <c r="CT28" s="4">
        <v>0.76726851733159895</v>
      </c>
      <c r="CU28" s="6">
        <v>9.3524049041182014E-2</v>
      </c>
      <c r="CV28">
        <v>8.1</v>
      </c>
      <c r="CW28">
        <v>1714.18161000028</v>
      </c>
      <c r="CX28">
        <v>3</v>
      </c>
      <c r="CY28">
        <v>2541</v>
      </c>
      <c r="CZ28">
        <v>0.75066469719350071</v>
      </c>
    </row>
    <row r="29" spans="1:104" x14ac:dyDescent="0.2">
      <c r="A29">
        <v>28</v>
      </c>
      <c r="B29" t="s">
        <v>83</v>
      </c>
      <c r="C29" t="s">
        <v>84</v>
      </c>
      <c r="D29">
        <v>7556</v>
      </c>
      <c r="E29">
        <v>4.76</v>
      </c>
      <c r="F29">
        <v>2366659</v>
      </c>
      <c r="G29">
        <v>319.26863988432638</v>
      </c>
      <c r="H29">
        <v>4579</v>
      </c>
      <c r="I29">
        <v>6.118467643875519</v>
      </c>
      <c r="J29">
        <v>193.47950000401411</v>
      </c>
      <c r="K29">
        <v>60.600847008999473</v>
      </c>
      <c r="L29" s="6">
        <v>4037.5076373489001</v>
      </c>
      <c r="M29" s="9">
        <v>1374</v>
      </c>
      <c r="N29" s="6">
        <v>58.056526098605666</v>
      </c>
      <c r="O29" s="6">
        <v>18.184224457384861</v>
      </c>
      <c r="P29" s="10">
        <v>924</v>
      </c>
      <c r="Q29" s="6">
        <v>39.042379996442243</v>
      </c>
      <c r="R29" s="6">
        <v>20.179078401397685</v>
      </c>
      <c r="S29" s="6">
        <v>67.248908296943227</v>
      </c>
      <c r="T29" s="10">
        <v>12</v>
      </c>
      <c r="U29" s="10">
        <v>26</v>
      </c>
      <c r="V29" s="6">
        <v>4238.4752561819096</v>
      </c>
      <c r="W29" s="10">
        <v>2738</v>
      </c>
      <c r="X29" s="6">
        <v>115.69051561716327</v>
      </c>
      <c r="Y29" s="6">
        <v>36.236103758602432</v>
      </c>
      <c r="Z29" s="10">
        <v>1622</v>
      </c>
      <c r="AA29" s="6">
        <v>68.535433283797957</v>
      </c>
      <c r="AB29" s="6">
        <v>35.422581349639657</v>
      </c>
      <c r="AC29" s="6">
        <v>59.240321402483566</v>
      </c>
      <c r="AD29" s="10">
        <v>9</v>
      </c>
      <c r="AE29" s="10">
        <v>42</v>
      </c>
      <c r="AF29" s="6">
        <v>3592.1850950868802</v>
      </c>
      <c r="AG29" s="7">
        <v>4075</v>
      </c>
      <c r="AH29" s="6">
        <v>2012</v>
      </c>
      <c r="AI29" s="6">
        <v>49.374233128834355</v>
      </c>
      <c r="AJ29" s="6">
        <v>32.4224020449902</v>
      </c>
      <c r="AK29" s="6">
        <v>20.286140146680999</v>
      </c>
      <c r="AL29" s="6">
        <v>21.645543124393122</v>
      </c>
      <c r="AM29" s="6">
        <v>13.119163869430178</v>
      </c>
      <c r="AN29" s="6">
        <v>69.971753207793668</v>
      </c>
      <c r="AO29" s="6">
        <v>8.3827036678132085</v>
      </c>
      <c r="AP29">
        <v>1851.8</v>
      </c>
      <c r="AQ29">
        <v>4040.4</v>
      </c>
      <c r="AR29">
        <v>45.832095832095831</v>
      </c>
      <c r="AS29">
        <v>1070.7</v>
      </c>
      <c r="AT29">
        <v>26.499851499851502</v>
      </c>
      <c r="AU29">
        <v>58.574868824868823</v>
      </c>
      <c r="AV29">
        <v>48</v>
      </c>
      <c r="AW29">
        <v>2.0299999999999998</v>
      </c>
      <c r="AX29">
        <v>3.4</v>
      </c>
      <c r="AY29">
        <v>1302483.5366052864</v>
      </c>
      <c r="AZ29">
        <v>25</v>
      </c>
      <c r="BA29">
        <v>43.96</v>
      </c>
      <c r="BB29">
        <v>7</v>
      </c>
      <c r="BC29">
        <v>4.8275862068965516</v>
      </c>
      <c r="BD29">
        <v>18</v>
      </c>
      <c r="BE29" s="1">
        <v>4.9221344092628097E-4</v>
      </c>
      <c r="BF29" s="3">
        <v>3.1295522138787102</v>
      </c>
      <c r="BG29" s="3">
        <v>1.75958183010235</v>
      </c>
      <c r="BH29" s="1">
        <v>71069</v>
      </c>
      <c r="BI29" s="4">
        <v>3.0464570881598898</v>
      </c>
      <c r="BJ29" s="4">
        <v>35.887238598772903</v>
      </c>
      <c r="BK29" s="3">
        <v>37.990268663539297</v>
      </c>
      <c r="BL29">
        <v>218276</v>
      </c>
      <c r="BM29">
        <v>5.5830032954339668</v>
      </c>
      <c r="BN29">
        <v>2986541</v>
      </c>
      <c r="BO29">
        <v>76.388921571536301</v>
      </c>
      <c r="BP29">
        <v>842320</v>
      </c>
      <c r="BQ29">
        <v>20.49</v>
      </c>
      <c r="BR29">
        <v>8.3827036678132085</v>
      </c>
      <c r="BS29">
        <v>31.260148514851487</v>
      </c>
      <c r="BT29">
        <v>1.0149999999999999</v>
      </c>
      <c r="BU29">
        <v>0.33090000000000003</v>
      </c>
      <c r="BV29">
        <v>0.30930000000000002</v>
      </c>
      <c r="BW29">
        <v>3.4398060029758231</v>
      </c>
      <c r="BX29">
        <v>1.4</v>
      </c>
      <c r="BY29">
        <v>97.8</v>
      </c>
      <c r="BZ29">
        <v>0.2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 t="s">
        <v>63</v>
      </c>
      <c r="CH29">
        <v>3.17316373087623E-2</v>
      </c>
      <c r="CI29">
        <v>0.60774853765027304</v>
      </c>
      <c r="CJ29">
        <v>0.45613266143775599</v>
      </c>
      <c r="CK29" s="6">
        <v>1224</v>
      </c>
      <c r="CL29" s="4">
        <v>2134</v>
      </c>
      <c r="CM29" s="6">
        <v>5887</v>
      </c>
      <c r="CN29" s="4">
        <f t="shared" si="0"/>
        <v>8202.0119999999988</v>
      </c>
      <c r="CO29" s="4">
        <f t="shared" si="1"/>
        <v>0.30036809815950921</v>
      </c>
      <c r="CP29" s="4">
        <f t="shared" si="2"/>
        <v>0.52368098159509202</v>
      </c>
      <c r="CQ29" s="4">
        <f t="shared" si="3"/>
        <v>1.4446625766871166</v>
      </c>
      <c r="CR29" s="4">
        <v>0.1492316763252724</v>
      </c>
      <c r="CS29" s="4">
        <v>0.26018006313572822</v>
      </c>
      <c r="CT29" s="4">
        <v>0.71775071775071786</v>
      </c>
      <c r="CU29" s="6">
        <v>7.3783506117493222E-2</v>
      </c>
      <c r="CV29">
        <v>6.7</v>
      </c>
      <c r="CW29">
        <v>2364.2156457497699</v>
      </c>
      <c r="CX29">
        <v>5</v>
      </c>
      <c r="CY29">
        <v>3096</v>
      </c>
      <c r="CZ29">
        <v>0.7597546012269939</v>
      </c>
    </row>
    <row r="30" spans="1:104" x14ac:dyDescent="0.2">
      <c r="A30">
        <v>29</v>
      </c>
      <c r="B30" t="s">
        <v>56</v>
      </c>
      <c r="C30" t="s">
        <v>57</v>
      </c>
      <c r="D30">
        <v>770</v>
      </c>
      <c r="E30">
        <v>0.49</v>
      </c>
      <c r="F30">
        <v>1172618</v>
      </c>
      <c r="G30">
        <v>65.665033284496744</v>
      </c>
      <c r="H30">
        <v>411</v>
      </c>
      <c r="I30">
        <v>0.54917890404735503</v>
      </c>
      <c r="J30">
        <v>35.049777506400211</v>
      </c>
      <c r="K30">
        <v>53.376623376623378</v>
      </c>
      <c r="L30" s="6">
        <v>2989.3769993886999</v>
      </c>
      <c r="M30" s="9">
        <v>125</v>
      </c>
      <c r="N30" s="6">
        <v>10.65990800072999</v>
      </c>
      <c r="O30" s="6">
        <v>16.233766233766232</v>
      </c>
      <c r="P30" s="10">
        <v>78</v>
      </c>
      <c r="Q30" s="6">
        <v>6.6517825924555138</v>
      </c>
      <c r="R30" s="6">
        <v>18.978102189781019</v>
      </c>
      <c r="S30" s="6">
        <v>62.4</v>
      </c>
      <c r="T30" s="10">
        <v>2</v>
      </c>
      <c r="U30" s="10">
        <v>1</v>
      </c>
      <c r="V30" s="6">
        <v>3820.61796914262</v>
      </c>
      <c r="W30" s="10">
        <v>327</v>
      </c>
      <c r="X30" s="6">
        <v>27.886319329909654</v>
      </c>
      <c r="Y30" s="6">
        <v>42.467532467532465</v>
      </c>
      <c r="Z30" s="10">
        <v>170</v>
      </c>
      <c r="AA30" s="6">
        <v>14.497474880992788</v>
      </c>
      <c r="AB30" s="6">
        <v>41.362530413625301</v>
      </c>
      <c r="AC30" s="6">
        <v>51.987767584097853</v>
      </c>
      <c r="AD30" s="10">
        <v>2</v>
      </c>
      <c r="AE30" s="10">
        <v>3</v>
      </c>
      <c r="AF30" s="6">
        <v>2775.4567940152001</v>
      </c>
      <c r="AG30" s="7">
        <v>1682</v>
      </c>
      <c r="AH30" s="6">
        <v>833</v>
      </c>
      <c r="AI30" s="6">
        <v>49.524375743162899</v>
      </c>
      <c r="AJ30" s="6">
        <v>30.8821012457182</v>
      </c>
      <c r="AK30" s="6">
        <v>19.733901550598301</v>
      </c>
      <c r="AL30" s="6">
        <v>22.926415101070578</v>
      </c>
      <c r="AM30" s="6">
        <v>13.073059301002321</v>
      </c>
      <c r="AN30" s="6">
        <v>69.867244903662183</v>
      </c>
      <c r="AO30" s="6">
        <v>7.20633999526724</v>
      </c>
      <c r="AP30">
        <v>528.5</v>
      </c>
      <c r="AQ30">
        <v>1665.9</v>
      </c>
      <c r="AR30">
        <v>31.724593312923943</v>
      </c>
      <c r="AS30">
        <v>438.1</v>
      </c>
      <c r="AT30">
        <v>26.298097124677351</v>
      </c>
      <c r="AU30">
        <v>70.38945915120955</v>
      </c>
      <c r="AV30">
        <v>20</v>
      </c>
      <c r="AW30">
        <v>1.75</v>
      </c>
      <c r="AX30">
        <v>0.6</v>
      </c>
      <c r="AY30">
        <v>1447749.0097244731</v>
      </c>
      <c r="AZ30">
        <v>2</v>
      </c>
      <c r="BA30">
        <v>26.54</v>
      </c>
      <c r="BB30">
        <v>1</v>
      </c>
      <c r="BC30">
        <v>0.68965517241379315</v>
      </c>
      <c r="BD30">
        <v>24</v>
      </c>
      <c r="BE30" s="1">
        <v>2.5973798731547299E-4</v>
      </c>
      <c r="BF30" s="3">
        <v>1.65144533985467</v>
      </c>
      <c r="BG30" s="3">
        <v>1.3418791787161699</v>
      </c>
      <c r="BH30" s="1">
        <v>302120</v>
      </c>
      <c r="BI30" s="4">
        <v>25.935740965370702</v>
      </c>
      <c r="BJ30" s="4">
        <v>76.919267005414298</v>
      </c>
      <c r="BK30" s="3">
        <v>54.709327145944599</v>
      </c>
      <c r="BL30">
        <v>83892</v>
      </c>
      <c r="BM30">
        <v>5.2334013927540113</v>
      </c>
      <c r="BN30">
        <v>1169552</v>
      </c>
      <c r="BO30">
        <v>72.959698966507403</v>
      </c>
      <c r="BP30">
        <v>163749</v>
      </c>
      <c r="BQ30">
        <v>15.19</v>
      </c>
      <c r="BR30">
        <v>7.20633999526724</v>
      </c>
      <c r="BS30">
        <v>6.7178871548619448</v>
      </c>
      <c r="BT30">
        <v>0.98599999999999999</v>
      </c>
      <c r="BU30">
        <v>0.3357</v>
      </c>
      <c r="BV30">
        <v>0.29670000000000002</v>
      </c>
      <c r="BW30">
        <v>0.84537553019419631</v>
      </c>
      <c r="BX30">
        <v>0.6</v>
      </c>
      <c r="BY30">
        <v>0.3</v>
      </c>
      <c r="BZ30">
        <v>97.8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 t="s">
        <v>58</v>
      </c>
      <c r="CH30">
        <v>1.81077410593029E-2</v>
      </c>
      <c r="CI30">
        <v>0.69639535977588296</v>
      </c>
      <c r="CJ30">
        <v>3.3015900481200303E-2</v>
      </c>
      <c r="CK30" s="6">
        <v>550</v>
      </c>
      <c r="CL30" s="6">
        <v>1028</v>
      </c>
      <c r="CM30" s="6">
        <v>3242</v>
      </c>
      <c r="CN30" s="4">
        <f t="shared" si="0"/>
        <v>2915.3250000000003</v>
      </c>
      <c r="CO30" s="4">
        <f t="shared" si="1"/>
        <v>0.32699167657550537</v>
      </c>
      <c r="CP30" s="4">
        <f t="shared" si="2"/>
        <v>0.61117717003567185</v>
      </c>
      <c r="CQ30" s="4">
        <f t="shared" si="3"/>
        <v>1.9274673008323424</v>
      </c>
      <c r="CR30" s="4">
        <v>0.18865821134864894</v>
      </c>
      <c r="CS30" s="4">
        <v>0.35261934775711107</v>
      </c>
      <c r="CT30" s="4">
        <v>1.1120544021678542</v>
      </c>
      <c r="CU30" s="6">
        <v>8.9020771513353109E-2</v>
      </c>
      <c r="CV30">
        <v>5.0999999999999996</v>
      </c>
      <c r="CW30">
        <v>2244.9229296128001</v>
      </c>
      <c r="CX30">
        <v>2.5</v>
      </c>
      <c r="CY30">
        <v>947</v>
      </c>
      <c r="CZ30">
        <v>0.56302021403091562</v>
      </c>
    </row>
    <row r="31" spans="1:104" x14ac:dyDescent="0.2">
      <c r="A31">
        <v>30</v>
      </c>
      <c r="B31" t="s">
        <v>54</v>
      </c>
      <c r="C31" t="s">
        <v>55</v>
      </c>
      <c r="D31">
        <v>1176</v>
      </c>
      <c r="E31">
        <v>0.74</v>
      </c>
      <c r="F31">
        <v>520718</v>
      </c>
      <c r="G31">
        <v>225.84201045479512</v>
      </c>
      <c r="H31">
        <v>496</v>
      </c>
      <c r="I31">
        <v>0.66275604965325563</v>
      </c>
      <c r="J31">
        <v>95.253092844879575</v>
      </c>
      <c r="K31">
        <v>42.176870748299322</v>
      </c>
      <c r="L31" s="6">
        <v>2374.8465859200601</v>
      </c>
      <c r="M31" s="9">
        <v>526</v>
      </c>
      <c r="N31" s="6">
        <v>101.01436862178761</v>
      </c>
      <c r="O31" s="6">
        <v>44.727891156462583</v>
      </c>
      <c r="P31" s="10">
        <v>287</v>
      </c>
      <c r="Q31" s="6">
        <v>55.116204932420239</v>
      </c>
      <c r="R31" s="6">
        <v>57.862903225806448</v>
      </c>
      <c r="S31" s="6">
        <v>54.562737642585546</v>
      </c>
      <c r="T31" s="10">
        <v>3</v>
      </c>
      <c r="U31" s="10">
        <v>15</v>
      </c>
      <c r="V31" s="6">
        <v>2442.0046607723598</v>
      </c>
      <c r="W31" s="10">
        <v>188</v>
      </c>
      <c r="X31" s="6">
        <v>36.103994868623708</v>
      </c>
      <c r="Y31" s="6">
        <v>15.986394557823131</v>
      </c>
      <c r="Z31" s="10">
        <v>67</v>
      </c>
      <c r="AA31" s="6">
        <v>12.86684923509462</v>
      </c>
      <c r="AB31" s="6">
        <v>13.508064516129032</v>
      </c>
      <c r="AC31" s="6">
        <v>35.638297872340424</v>
      </c>
      <c r="AD31" s="10">
        <v>0</v>
      </c>
      <c r="AE31" s="10">
        <v>1</v>
      </c>
      <c r="AF31" s="6">
        <v>2688.0868070814099</v>
      </c>
      <c r="AG31" s="7">
        <v>836</v>
      </c>
      <c r="AH31" s="6">
        <v>409</v>
      </c>
      <c r="AI31" s="6">
        <v>48.92344497607656</v>
      </c>
      <c r="AJ31" s="6">
        <v>29.480579998907501</v>
      </c>
      <c r="AK31" s="6">
        <v>20.7314266541891</v>
      </c>
      <c r="AL31" s="6">
        <v>28.220306944291572</v>
      </c>
      <c r="AM31" s="6">
        <v>15.081976235027254</v>
      </c>
      <c r="AN31" s="6">
        <v>64.94044400204821</v>
      </c>
      <c r="AO31" s="6">
        <v>6.8392490536602182</v>
      </c>
      <c r="AP31">
        <v>282.2</v>
      </c>
      <c r="AQ31">
        <v>818.3</v>
      </c>
      <c r="AR31">
        <v>34.486129781253823</v>
      </c>
      <c r="AS31">
        <v>311</v>
      </c>
      <c r="AT31">
        <v>38.005621410240749</v>
      </c>
      <c r="AU31">
        <v>63.634119516069902</v>
      </c>
      <c r="AV31">
        <v>17</v>
      </c>
      <c r="AW31">
        <v>2.08</v>
      </c>
      <c r="AX31">
        <v>2.4</v>
      </c>
      <c r="AY31">
        <v>1293641.6690700231</v>
      </c>
      <c r="AZ31">
        <v>12</v>
      </c>
      <c r="BA31">
        <v>29.5</v>
      </c>
      <c r="BB31">
        <v>1</v>
      </c>
      <c r="BC31">
        <v>0.68965517241379315</v>
      </c>
      <c r="BD31">
        <v>25</v>
      </c>
      <c r="BE31" s="1">
        <v>2.5442235218092898E-4</v>
      </c>
      <c r="BF31" s="3">
        <v>1.6176478928118201</v>
      </c>
      <c r="BG31" s="3">
        <v>1.27798528235219</v>
      </c>
      <c r="BH31" s="1">
        <v>174854</v>
      </c>
      <c r="BI31" s="4">
        <v>34.370485107119102</v>
      </c>
      <c r="BJ31" s="4">
        <v>84.689925029435898</v>
      </c>
      <c r="BK31" s="3">
        <v>73.407284221284598</v>
      </c>
      <c r="BL31">
        <v>46489</v>
      </c>
      <c r="BM31">
        <v>6.0461855798818567</v>
      </c>
      <c r="BN31">
        <v>580627</v>
      </c>
      <c r="BO31">
        <v>75.514177433157585</v>
      </c>
      <c r="BQ31">
        <v>1.82</v>
      </c>
      <c r="BR31">
        <v>6.8392490536602182</v>
      </c>
      <c r="BS31">
        <v>9.3484107579462101</v>
      </c>
      <c r="BT31">
        <v>0.96199999999999997</v>
      </c>
      <c r="BU31">
        <v>0.33279999999999998</v>
      </c>
      <c r="BV31">
        <v>0.376</v>
      </c>
      <c r="BW31">
        <v>0.45104256652718716</v>
      </c>
      <c r="BX31">
        <v>99.3</v>
      </c>
      <c r="BY31">
        <v>0</v>
      </c>
      <c r="BZ31">
        <v>0</v>
      </c>
      <c r="CA31">
        <v>0</v>
      </c>
      <c r="CB31">
        <v>0.7</v>
      </c>
      <c r="CC31">
        <v>0</v>
      </c>
      <c r="CD31">
        <v>0</v>
      </c>
      <c r="CE31">
        <v>0</v>
      </c>
      <c r="CF31">
        <v>0</v>
      </c>
      <c r="CG31" t="s">
        <v>50</v>
      </c>
      <c r="CH31">
        <v>1.39020000000001E-2</v>
      </c>
      <c r="CI31">
        <v>9.1292130937501506E-3</v>
      </c>
      <c r="CJ31">
        <v>0.86264561187302502</v>
      </c>
      <c r="CK31" s="6">
        <v>308</v>
      </c>
      <c r="CL31" s="6">
        <v>592</v>
      </c>
      <c r="CM31" s="6">
        <v>1742.9999999999998</v>
      </c>
      <c r="CN31" s="4">
        <f t="shared" si="0"/>
        <v>1702.0639999999999</v>
      </c>
      <c r="CO31" s="4">
        <f t="shared" si="1"/>
        <v>0.36842105263157893</v>
      </c>
      <c r="CP31" s="4">
        <f t="shared" si="2"/>
        <v>0.70813397129186606</v>
      </c>
      <c r="CQ31" s="4">
        <f t="shared" si="3"/>
        <v>2.0849282296650715</v>
      </c>
      <c r="CR31" s="4">
        <v>0.18095676778311509</v>
      </c>
      <c r="CS31" s="4">
        <v>0.34781300820650696</v>
      </c>
      <c r="CT31" s="4">
        <v>1.0240507994999013</v>
      </c>
      <c r="CU31" s="6">
        <v>0.20257234726688103</v>
      </c>
      <c r="CV31">
        <v>6.8</v>
      </c>
      <c r="CW31">
        <v>1403.01769053465</v>
      </c>
      <c r="CX31">
        <v>2.4</v>
      </c>
      <c r="CY31">
        <v>631</v>
      </c>
      <c r="CZ31">
        <v>0.75478468899521534</v>
      </c>
    </row>
    <row r="32" spans="1:104" x14ac:dyDescent="0.2">
      <c r="A32">
        <v>31</v>
      </c>
      <c r="B32" t="s">
        <v>77</v>
      </c>
      <c r="C32" t="s">
        <v>78</v>
      </c>
      <c r="D32">
        <v>4419</v>
      </c>
      <c r="E32">
        <v>2.79</v>
      </c>
      <c r="F32">
        <v>321068</v>
      </c>
      <c r="G32">
        <v>1376.3439520599998</v>
      </c>
      <c r="H32">
        <v>2247</v>
      </c>
      <c r="I32">
        <v>3.0024452491348095</v>
      </c>
      <c r="J32">
        <v>699.85174480172418</v>
      </c>
      <c r="K32">
        <v>50.848608282416841</v>
      </c>
      <c r="L32" s="6">
        <v>2385.7375892601199</v>
      </c>
      <c r="M32" s="9">
        <v>826</v>
      </c>
      <c r="N32" s="6">
        <v>257.26637347851545</v>
      </c>
      <c r="O32" s="6">
        <v>18.692011767368182</v>
      </c>
      <c r="P32" s="10">
        <v>524</v>
      </c>
      <c r="Q32" s="6">
        <v>163.20530230356187</v>
      </c>
      <c r="R32" s="6">
        <v>23.319982198486873</v>
      </c>
      <c r="S32" s="6">
        <v>63.438256658595634</v>
      </c>
      <c r="T32" s="10">
        <v>11</v>
      </c>
      <c r="U32" s="10">
        <v>17</v>
      </c>
      <c r="V32" s="6">
        <v>2241.2413764907601</v>
      </c>
      <c r="W32" s="10">
        <v>1892</v>
      </c>
      <c r="X32" s="6">
        <v>589.28326709606688</v>
      </c>
      <c r="Y32" s="6">
        <v>42.815116542204116</v>
      </c>
      <c r="Z32" s="10">
        <v>814</v>
      </c>
      <c r="AA32" s="6">
        <v>66.676605358046814</v>
      </c>
      <c r="AB32" s="6">
        <v>36.226079216733417</v>
      </c>
      <c r="AC32" s="6">
        <v>43.02325581395349</v>
      </c>
      <c r="AD32" s="10">
        <v>7</v>
      </c>
      <c r="AE32" s="10">
        <v>36</v>
      </c>
      <c r="AF32" s="6">
        <v>2063.5232170711001</v>
      </c>
      <c r="AG32" s="7">
        <v>1293</v>
      </c>
      <c r="AH32" s="6">
        <v>632</v>
      </c>
      <c r="AI32" s="6">
        <v>48.878576952822897</v>
      </c>
      <c r="AJ32" s="6">
        <v>29.870678320259501</v>
      </c>
      <c r="AK32" s="6">
        <v>20.026065001243001</v>
      </c>
      <c r="AL32" s="6">
        <v>26.616128034637388</v>
      </c>
      <c r="AM32" s="6">
        <v>13.940853564249265</v>
      </c>
      <c r="AN32" s="6">
        <v>66.96211535487862</v>
      </c>
      <c r="AO32" s="6">
        <v>6.421756610483996</v>
      </c>
      <c r="AP32">
        <v>725.8</v>
      </c>
      <c r="AQ32">
        <v>1252.5</v>
      </c>
      <c r="AR32">
        <v>57.948103792415161</v>
      </c>
      <c r="AS32">
        <v>169.1</v>
      </c>
      <c r="AT32">
        <v>13.500998003992015</v>
      </c>
      <c r="AU32">
        <v>25.634171656686629</v>
      </c>
      <c r="AV32">
        <v>20</v>
      </c>
      <c r="AW32">
        <v>2.5099999999999998</v>
      </c>
      <c r="AX32">
        <v>3.1</v>
      </c>
      <c r="AY32">
        <v>1758494.3182435133</v>
      </c>
      <c r="AZ32">
        <v>23</v>
      </c>
      <c r="BA32">
        <v>55.83</v>
      </c>
      <c r="BB32">
        <v>3</v>
      </c>
      <c r="BC32">
        <v>2.0689655172413794</v>
      </c>
      <c r="BD32">
        <v>3</v>
      </c>
      <c r="BE32" s="1">
        <v>2.0632049063045899E-3</v>
      </c>
      <c r="BF32" s="3">
        <v>13.118104759715401</v>
      </c>
      <c r="BG32" s="3">
        <v>5.4697315583942698</v>
      </c>
      <c r="BH32" s="1">
        <v>25362</v>
      </c>
      <c r="BI32" s="4">
        <v>7.8418883361109701</v>
      </c>
      <c r="BJ32" s="4">
        <v>30.748940191764799</v>
      </c>
      <c r="BK32" s="3">
        <v>40.525374409922698</v>
      </c>
      <c r="BL32">
        <v>94841</v>
      </c>
      <c r="BM32">
        <v>8.3301054954050517</v>
      </c>
      <c r="BN32">
        <v>906564</v>
      </c>
      <c r="BO32">
        <v>79.625623499714109</v>
      </c>
      <c r="BP32">
        <v>907</v>
      </c>
      <c r="BQ32">
        <v>0.16</v>
      </c>
      <c r="BR32">
        <v>6.421756610483996</v>
      </c>
      <c r="BS32">
        <v>66.465283320031929</v>
      </c>
      <c r="BT32">
        <v>1.0429999999999999</v>
      </c>
      <c r="BU32">
        <v>0.30180000000000001</v>
      </c>
      <c r="BV32">
        <v>0.31059999999999999</v>
      </c>
      <c r="BW32">
        <v>2.5470657167787079</v>
      </c>
      <c r="BX32">
        <v>98.6</v>
      </c>
      <c r="BY32">
        <v>0</v>
      </c>
      <c r="BZ32">
        <v>0</v>
      </c>
      <c r="CA32">
        <v>0</v>
      </c>
      <c r="CB32">
        <v>0</v>
      </c>
      <c r="CC32">
        <v>0.5</v>
      </c>
      <c r="CD32">
        <v>0</v>
      </c>
      <c r="CE32">
        <v>0</v>
      </c>
      <c r="CF32">
        <v>0</v>
      </c>
      <c r="CG32" t="s">
        <v>50</v>
      </c>
      <c r="CH32">
        <v>1.0039905058747601E-2</v>
      </c>
      <c r="CI32">
        <v>7.7131639505857597E-3</v>
      </c>
      <c r="CJ32">
        <v>0.86264562950289903</v>
      </c>
      <c r="CK32" s="6">
        <v>557</v>
      </c>
      <c r="CL32" s="6">
        <v>904</v>
      </c>
      <c r="CM32" s="6">
        <v>2215</v>
      </c>
      <c r="CN32" s="4">
        <f t="shared" si="0"/>
        <v>3143.7749999999996</v>
      </c>
      <c r="CO32" s="4">
        <f t="shared" si="1"/>
        <v>0.43078112915699923</v>
      </c>
      <c r="CP32" s="4">
        <f t="shared" si="2"/>
        <v>0.69914926527455534</v>
      </c>
      <c r="CQ32" s="4">
        <f t="shared" si="3"/>
        <v>1.7130703789636503</v>
      </c>
      <c r="CR32" s="4">
        <v>0.17717552941924916</v>
      </c>
      <c r="CS32" s="4">
        <v>0.28755238526930205</v>
      </c>
      <c r="CT32" s="4">
        <v>0.70456696169414168</v>
      </c>
      <c r="CU32" s="6">
        <v>0.2247191011235955</v>
      </c>
      <c r="CV32">
        <v>12.1</v>
      </c>
      <c r="CW32">
        <v>1436.8999093253799</v>
      </c>
      <c r="CX32">
        <v>5.6</v>
      </c>
      <c r="CY32">
        <v>1489</v>
      </c>
      <c r="CZ32">
        <v>1.151585460170147</v>
      </c>
    </row>
    <row r="33" spans="58:58" x14ac:dyDescent="0.2">
      <c r="BF33" s="5"/>
    </row>
  </sheetData>
  <sortState xmlns:xlrd2="http://schemas.microsoft.com/office/spreadsheetml/2017/richdata2" ref="A2:CZ33">
    <sortCondition ref="A1"/>
  </sortState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sahab aarabi</dc:creator>
  <cp:lastModifiedBy>sahab aarabi</cp:lastModifiedBy>
  <cp:lastPrinted>2026-04-16T12:46:41Z</cp:lastPrinted>
  <dcterms:created xsi:type="dcterms:W3CDTF">2026-01-03T08:31:13Z</dcterms:created>
  <dcterms:modified xsi:type="dcterms:W3CDTF">2026-06-20T02:53:32Z</dcterms:modified>
</cp:coreProperties>
</file>